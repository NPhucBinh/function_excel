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a1bdd6bc00f8cbf1/function/file xlsm và function/"/>
    </mc:Choice>
  </mc:AlternateContent>
  <xr:revisionPtr revIDLastSave="5467" documentId="13_ncr:1_{9CF53BA4-0C5B-4598-92DD-328F9068636F}" xr6:coauthVersionLast="47" xr6:coauthVersionMax="47" xr10:uidLastSave="{7926F954-3ED5-4D1D-BD54-889D38EA81AC}"/>
  <bookViews>
    <workbookView xWindow="-20610" yWindow="-120" windowWidth="20730" windowHeight="11160" tabRatio="568" activeTab="1" xr2:uid="{00000000-000D-0000-FFFF-FFFF00000000}"/>
  </bookViews>
  <sheets>
    <sheet name="Hướng dẫn" sheetId="25" r:id="rId1"/>
    <sheet name="BCTC_VND" sheetId="22" r:id="rId2"/>
    <sheet name="Sheet1" sheetId="26" r:id="rId3"/>
    <sheet name="_xlwings.conf" sheetId="2" state="hidden" r:id="rId4"/>
  </sheets>
  <functionGroups builtInGroupCount="19">
    <functionGroup name="xlwings"/>
  </functionGroups>
  <externalReferences>
    <externalReference r:id="rId5"/>
  </externalReferences>
  <definedNames>
    <definedName name="_xlcn.WorksheetConnection_BanggiaCPB1G311" hidden="1">'[1]Bang gia CP'!$B$1:$G$31</definedName>
    <definedName name="_xlcn.WorksheetConnection_BanggiaCPEG1" hidden="1">'[1]Bang gia CP'!$E:$G</definedName>
  </definedNames>
  <calcPr calcId="191028" concurrentCalc="0"/>
  <extLst>
    <ext xmlns:x14="http://schemas.microsoft.com/office/spreadsheetml/2009/9/main" uri="{8193D73E-4604-4355-AFF4-8A2333D13BE4}">
      <x14:definedNames>
        <x14:definedName name="baocaonh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vent_price_cp68">
          <x14:argumentDescriptions count="1">
            <x14:argumentDescription index="0">Positional argument 1</x14:argumentDescription>
          </x14:argumentDescriptions>
        </x14:definedName>
        <x14:definedName name="exchange_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bla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data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rice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CP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iao_dich_tu_do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tu_doanh_cty_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dich_noibo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mportsto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fo_company">
          <x14:argumentDescriptions count="1">
            <x14:argumentDescription index="0">Positional argument 1</x14:argumentDescription>
          </x14:argumentDescriptions>
        </x14:definedName>
        <x14:definedName name="key_id">
          <x14:argumentDescriptions count="1">
            <x14:argumentDescription index="0">Positional argument 1</x14:argumentDescription>
          </x14:argumentDescriptions>
        </x14:definedName>
        <x14:definedName name="key_id_excel">
          <x14:argumentDescriptions count="1">
            <x14:argumentDescription index="0">Positional argument 1</x14:argumentDescription>
          </x14:argumentDescriptions>
        </x14:definedName>
        <x14:definedName name="kich_hoat_id">
          <x14:argumentDescriptions count="1">
            <x14:argumentDescription index="0">Positional argument 1</x14:argumentDescription>
          </x14:argumentDescriptions>
        </x14:definedName>
        <x14:definedName name="kiemtra">
          <x14:argumentDescriptions count="1">
            <x14:argumentDescription index="0">Positional argument 1</x14:argumentDescription>
          </x14:argumentDescriptions>
        </x14:definedName>
        <x14:definedName name="laisuat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por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c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_finance_cp68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vn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io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lieu_banle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danso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FD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GDP_vietstock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olieu_sanxuat_congnghie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tindung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XNK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ygia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xul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Range" name="Range" connection="WorksheetConnection_Bang gia CP!$B$1:$G$31"/>
          <x15:modelTable id="Range 1" name="Range 1" connection="WorksheetConnection_Bang gia CP!$E:$G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22" l="1" a="1"/>
  <c r="A1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Bang gia CP!$B$1:$G$3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BanggiaCPB1G311"/>
        </x15:connection>
      </ext>
    </extLst>
  </connection>
  <connection id="3" xr16:uid="{00000000-0015-0000-FFFF-FFFF02000000}" name="WorksheetConnection_Bang gia CP!$E:$G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BanggiaCPEG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<sst xmlns="http://schemas.openxmlformats.org/spreadsheetml/2006/main" count="105" uniqueCount="104">
  <si>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</si>
  <si>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</si>
  <si>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</si>
  <si>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</si>
  <si>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</si>
  <si>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</si>
  <si>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</si>
  <si>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</si>
  <si>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</si>
  <si>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</si>
  <si>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</si>
  <si>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</si>
  <si>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</si>
  <si>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</si>
  <si>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</si>
  <si>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Loại BCTC</t>
  </si>
  <si>
    <t>Mã</t>
  </si>
  <si>
    <t>Năm tài chính</t>
  </si>
  <si>
    <t>Timely</t>
  </si>
  <si>
    <t>HCM</t>
  </si>
  <si>
    <t>BS</t>
  </si>
  <si>
    <t>P&amp;L</t>
  </si>
  <si>
    <t>CF</t>
  </si>
  <si>
    <t>YEAR</t>
  </si>
  <si>
    <t>QUARTER</t>
  </si>
  <si>
    <t>Sử dụng tương tự như hàm  report_finance_vnd</t>
  </si>
  <si>
    <t>1ZM2UfER7JqYFOZrMsqKVDMJIdojfd1Lu</t>
  </si>
  <si>
    <t>Hàm giao dịch khối ngoại</t>
  </si>
  <si>
    <t>giao_dich_tu_doanh(symbol,fromdate,todate)</t>
  </si>
  <si>
    <t>Hàm giao dịch tự doanh</t>
  </si>
  <si>
    <t>Hàm giao dịch nội bộ</t>
  </si>
  <si>
    <t>giao_dich_noi_bo(symbol,fromdate,todate)</t>
  </si>
  <si>
    <t>giao_dich_khoi_ngoai(symbol,fromdate,todate)</t>
  </si>
  <si>
    <t>Hàm đổi tỷ giá</t>
  </si>
  <si>
    <t>exchange_currency(current,cover_current,from_date,to_date)</t>
  </si>
  <si>
    <t>laisuat_vietstock(fromdate,todate)</t>
  </si>
  <si>
    <t>report_finance_vnd(symbol,report,year,timely)</t>
  </si>
  <si>
    <t>report_finance_cf(symbol,report,year,timely)</t>
  </si>
  <si>
    <t>Hàm lấy chỉ số CPI</t>
  </si>
  <si>
    <t>getCPI_vietstock(fromdate,todate)</t>
  </si>
  <si>
    <t>Hàm lấy số liệu sản xuất</t>
  </si>
  <si>
    <t>solieu_sanxuat_congnghiep(fromdate,todate)</t>
  </si>
  <si>
    <t>Hàm lấy số liệu bán lẻ</t>
  </si>
  <si>
    <t>Hàm lấy số liệu Xuất Nhập Khẩu</t>
  </si>
  <si>
    <t>solieu_XNK_vietstock(fromdate,todate)</t>
  </si>
  <si>
    <t>solieu_banle_vietstock(fromdate,todate)</t>
  </si>
  <si>
    <t>Hàm lấy tỷ giá theo vietstock</t>
  </si>
  <si>
    <t>tygia_vietstock(fromdate,todate)</t>
  </si>
  <si>
    <t>Hàm lấy số liệu tín dụng</t>
  </si>
  <si>
    <t>solieu_tindung_vietstock(fromdate,todate)</t>
  </si>
  <si>
    <t>Hàm lấy số liệu GDP</t>
  </si>
  <si>
    <t>solieu_GDP_vietstock(fromyear,fromQ,toyear,toQ)</t>
  </si>
  <si>
    <t>get_price_history_cafef(symbol,fromdate,todate)</t>
  </si>
  <si>
    <t>Danh Sách Các Hàm</t>
  </si>
  <si>
    <t>Hàm lấy lãi suất từ vietstock</t>
  </si>
  <si>
    <t>Hàm lẫy lãi suất từ cafef</t>
  </si>
  <si>
    <t>lai_suat_cafef()</t>
  </si>
  <si>
    <t>Hàm lấy giá chứng khoán từ cafef</t>
  </si>
  <si>
    <t>Hàm lấy báo cáo tài chính từ trang cafef</t>
  </si>
  <si>
    <t>Hàm lấy báo cáo tài chính từ công ty chứng khoán vndirect</t>
  </si>
  <si>
    <t>ví dụ =giao_dich_khoi_ngoai(ACB,20/08/2023,30/08/2023)</t>
  </si>
  <si>
    <t>ví dụ =giao_dich_noi_bo(ACB,20/08/2023,30/08/2023)</t>
  </si>
  <si>
    <t>ví dụ =giao_dich_tu_doanh(ACB,20/08/2023,30/08/2023)</t>
  </si>
  <si>
    <t>ví dụ: =report_finance_vnd(acb,bs,2023,quarter)</t>
  </si>
  <si>
    <t>ví dụ: =get_price_history_cafef(ACB,20/08/2023,30/08/2023)</t>
  </si>
  <si>
    <t>ví dụ =exchange_currency(USD,VND,20/08/2023,30/08/2023)</t>
  </si>
  <si>
    <t>ví dụ =lai_suat_cafef() không cần chuyền đối số</t>
  </si>
  <si>
    <t>ví dụ =laisuat_vietstock(20/08/2023,30/08/2023)</t>
  </si>
  <si>
    <t>ví dụ =getCPI_vietstock(20/08/2023,30/08/2023)</t>
  </si>
  <si>
    <t>ví dụ =solieu_sanxuat_congnghiep(20/08/2023,30/08/2023)</t>
  </si>
  <si>
    <t>ví dụ =solieu_banle_vietstock(20/08/2023,30/08/2023)</t>
  </si>
  <si>
    <t>ví dụ =solieu_XNK_vietstock(20/08/2023,30/08/2023)</t>
  </si>
  <si>
    <t>ví dụ =tygia_vietstock(20/08/2023,30/08/2023)</t>
  </si>
  <si>
    <t>ví dụ =solieu_tindung_vietstock(20/08/2023,30/08/2023)</t>
  </si>
  <si>
    <t>ví dụ =solieu_GDP_vietstock(2022,2,2023,4)</t>
  </si>
  <si>
    <t>Hàm lấy danh sách các công ty niêm yết</t>
  </si>
  <si>
    <t>list_company()</t>
  </si>
  <si>
    <t>ví dụ =list_company() không cần chuyền đối số</t>
  </si>
  <si>
    <t>update_company()</t>
  </si>
  <si>
    <t>Hàm cập nhật danh sách các công ty niêm yết theo thời gian thực</t>
  </si>
  <si>
    <t>ví dụ =update_company() không cần chuyền đối số</t>
  </si>
  <si>
    <t>Hàm kích thành viên giới hạn</t>
  </si>
  <si>
    <t>key_id(code)</t>
  </si>
  <si>
    <t>ví dụ: =key_id(mã code của bạn)</t>
  </si>
  <si>
    <t>Ghi chú:</t>
  </si>
  <si>
    <t>Đối với các hàm lấy báo cáo tài chính</t>
  </si>
  <si>
    <t>4 loại báo cáo gồm:</t>
  </si>
  <si>
    <t>loại thời gian báo cáo gồm:</t>
  </si>
  <si>
    <r>
      <rPr>
        <b/>
        <sz val="12"/>
        <color theme="1"/>
        <rFont val="Calibri"/>
        <family val="2"/>
        <scheme val="minor"/>
      </rPr>
      <t>symbol:</t>
    </r>
    <r>
      <rPr>
        <sz val="12"/>
        <color theme="1"/>
        <rFont val="Calibri"/>
        <family val="2"/>
        <scheme val="minor"/>
      </rPr>
      <t xml:space="preserve"> là ký hiệu mã cổ phiếu</t>
    </r>
  </si>
  <si>
    <r>
      <rPr>
        <b/>
        <sz val="12"/>
        <color theme="1"/>
        <rFont val="Calibri"/>
        <family val="2"/>
        <scheme val="minor"/>
      </rPr>
      <t>fromdate:</t>
    </r>
    <r>
      <rPr>
        <sz val="12"/>
        <color theme="1"/>
        <rFont val="Calibri"/>
        <family val="2"/>
        <scheme val="minor"/>
      </rPr>
      <t xml:space="preserve"> là ngày bắt đầu</t>
    </r>
  </si>
  <si>
    <r>
      <rPr>
        <b/>
        <sz val="12"/>
        <color theme="1"/>
        <rFont val="Calibri"/>
        <family val="2"/>
        <scheme val="minor"/>
      </rPr>
      <t>todate:</t>
    </r>
    <r>
      <rPr>
        <sz val="12"/>
        <color theme="1"/>
        <rFont val="Calibri"/>
        <family val="2"/>
        <scheme val="minor"/>
      </rPr>
      <t xml:space="preserve"> là ngày kết thúc</t>
    </r>
  </si>
  <si>
    <r>
      <rPr>
        <b/>
        <sz val="12"/>
        <color theme="1"/>
        <rFont val="Calibri"/>
        <family val="2"/>
        <scheme val="minor"/>
      </rPr>
      <t>fromyear:</t>
    </r>
    <r>
      <rPr>
        <sz val="12"/>
        <color theme="1"/>
        <rFont val="Calibri"/>
        <family val="2"/>
        <scheme val="minor"/>
      </rPr>
      <t xml:space="preserve"> là năm bắt đầu</t>
    </r>
  </si>
  <si>
    <r>
      <rPr>
        <b/>
        <sz val="12"/>
        <color theme="1"/>
        <rFont val="Calibri"/>
        <family val="2"/>
        <scheme val="minor"/>
      </rPr>
      <t>toyear</t>
    </r>
    <r>
      <rPr>
        <sz val="12"/>
        <color theme="1"/>
        <rFont val="Calibri"/>
        <family val="2"/>
        <scheme val="minor"/>
      </rPr>
      <t>: là năm kết thúc</t>
    </r>
  </si>
  <si>
    <r>
      <rPr>
        <b/>
        <sz val="12"/>
        <color theme="1"/>
        <rFont val="Calibri"/>
        <family val="2"/>
        <scheme val="minor"/>
      </rPr>
      <t>fromQ:</t>
    </r>
    <r>
      <rPr>
        <sz val="12"/>
        <color theme="1"/>
        <rFont val="Calibri"/>
        <family val="2"/>
        <scheme val="minor"/>
      </rPr>
      <t xml:space="preserve"> là quý bắt đầu</t>
    </r>
  </si>
  <si>
    <r>
      <rPr>
        <b/>
        <sz val="12"/>
        <color theme="1"/>
        <rFont val="Calibri"/>
        <family val="2"/>
        <scheme val="minor"/>
      </rPr>
      <t>toQ:</t>
    </r>
    <r>
      <rPr>
        <sz val="12"/>
        <color theme="1"/>
        <rFont val="Calibri"/>
        <family val="2"/>
        <scheme val="minor"/>
      </rPr>
      <t xml:space="preserve"> là quý kết thúc</t>
    </r>
  </si>
  <si>
    <r>
      <rPr>
        <b/>
        <sz val="12"/>
        <color theme="1"/>
        <rFont val="Calibri"/>
        <family val="2"/>
        <scheme val="minor"/>
      </rPr>
      <t>Cân đối kế toán:</t>
    </r>
    <r>
      <rPr>
        <sz val="12"/>
        <color theme="1"/>
        <rFont val="Calibri"/>
        <family val="2"/>
        <scheme val="minor"/>
      </rPr>
      <t xml:space="preserve"> BS - CDKT -BALANCESHEET</t>
    </r>
  </si>
  <si>
    <r>
      <rPr>
        <b/>
        <sz val="12"/>
        <color theme="1"/>
        <rFont val="Calibri"/>
        <family val="2"/>
        <scheme val="minor"/>
      </rPr>
      <t>report:</t>
    </r>
    <r>
      <rPr>
        <sz val="12"/>
        <color theme="1"/>
        <rFont val="Calibri"/>
        <family val="2"/>
        <scheme val="minor"/>
      </rPr>
      <t xml:space="preserve"> là loại báo cáo.</t>
    </r>
  </si>
  <si>
    <r>
      <rPr>
        <b/>
        <sz val="12"/>
        <color theme="1"/>
        <rFont val="Calibri"/>
        <family val="2"/>
        <scheme val="minor"/>
      </rPr>
      <t>year:</t>
    </r>
    <r>
      <rPr>
        <sz val="12"/>
        <color theme="1"/>
        <rFont val="Calibri"/>
        <family val="2"/>
        <scheme val="minor"/>
      </rPr>
      <t xml:space="preserve"> là năm tài chính cần lấy</t>
    </r>
  </si>
  <si>
    <r>
      <rPr>
        <b/>
        <sz val="12"/>
        <color theme="1"/>
        <rFont val="Calibri"/>
        <family val="2"/>
        <scheme val="minor"/>
      </rPr>
      <t>timely:</t>
    </r>
    <r>
      <rPr>
        <sz val="12"/>
        <color theme="1"/>
        <rFont val="Calibri"/>
        <family val="2"/>
        <scheme val="minor"/>
      </rPr>
      <t xml:space="preserve"> là loại thời gian năm hoặc quý</t>
    </r>
  </si>
  <si>
    <r>
      <rPr>
        <b/>
        <sz val="12"/>
        <color theme="1"/>
        <rFont val="Calibri"/>
        <family val="2"/>
        <scheme val="minor"/>
      </rPr>
      <t xml:space="preserve">Kết quả kinh doanh: </t>
    </r>
    <r>
      <rPr>
        <sz val="12"/>
        <color theme="1"/>
        <rFont val="Calibri"/>
        <family val="2"/>
        <scheme val="minor"/>
      </rPr>
      <t>P&amp;L - KQKD</t>
    </r>
  </si>
  <si>
    <r>
      <rPr>
        <b/>
        <sz val="12"/>
        <color theme="1"/>
        <rFont val="Calibri"/>
        <family val="2"/>
        <scheme val="minor"/>
      </rPr>
      <t>Lưu chuyển tiền tệ:</t>
    </r>
    <r>
      <rPr>
        <sz val="12"/>
        <color theme="1"/>
        <rFont val="Calibri"/>
        <family val="2"/>
        <scheme val="minor"/>
      </rPr>
      <t xml:space="preserve"> CFD - LCTT</t>
    </r>
  </si>
  <si>
    <r>
      <rPr>
        <b/>
        <sz val="12"/>
        <color theme="1"/>
        <rFont val="Calibri"/>
        <family val="2"/>
        <scheme val="minor"/>
      </rPr>
      <t xml:space="preserve">Năm: </t>
    </r>
    <r>
      <rPr>
        <sz val="12"/>
        <color theme="1"/>
        <rFont val="Calibri"/>
        <family val="2"/>
        <scheme val="minor"/>
      </rPr>
      <t>YEAR - NAM</t>
    </r>
  </si>
  <si>
    <r>
      <rPr>
        <b/>
        <sz val="12"/>
        <color theme="1"/>
        <rFont val="Calibri"/>
        <family val="2"/>
        <scheme val="minor"/>
      </rPr>
      <t xml:space="preserve">Quý: </t>
    </r>
    <r>
      <rPr>
        <sz val="12"/>
        <color theme="1"/>
        <rFont val="Calibri"/>
        <family val="2"/>
        <scheme val="minor"/>
      </rPr>
      <t>QUARTER - QUY</t>
    </r>
  </si>
  <si>
    <t>Để hoạt động hiệu quả cần khai báo biến vào ô giá trị trước, rồi sử dụng hàm.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</si>
</sst>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0" xfId="0" applyFont="1" applyFill="1"/>
    <xf numFmtId="0" fontId="1" fillId="0" borderId="0" xfId="0" applyFont="1"/>
    <xf numFmtId="49" fontId="0" fillId="0" borderId="0" xfId="0" applyNumberFormat="1"/>
    <xf numFmtId="0" fontId="0" fillId="0" borderId="0" xfId="0" applyBorder="1"/>
    <xf numFmtId="0" fontId="1" fillId="2" borderId="0" xfId="0" applyFont="1" applyFill="1" applyAlignment="1">
      <alignment horizontal="center"/>
    </xf>
    <xf numFmtId="0" fontId="0" fillId="0" borderId="5" xfId="0" applyBorder="1"/>
    <xf numFmtId="0" fontId="0" fillId="0" borderId="6" xfId="0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1" fillId="2" borderId="12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quotePrefix="1"/>
    <xf numFmtId="0" fontId="2" fillId="0" borderId="10" xfId="0" applyFont="1" applyBorder="1" applyAlignment="1">
      <alignment wrapText="1"/>
    </xf>
    <xf numFmtId="0" fontId="2" fillId="0" borderId="0" xfId="0" applyFont="1" applyAlignment="1"/>
    <xf numFmtId="0" fontId="2" fillId="0" borderId="10" xfId="0" applyFont="1" applyBorder="1" applyAlignme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ng%20gia%20C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g gia CP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DB72-E2E7-4AEF-AD07-C81C64EB64E2}">
  <sheetPr codeName="Sheet8"/>
  <dimension ref="A1:J40"/>
  <sheetViews>
    <sheetView topLeftCell="A16" workbookViewId="0">
      <selection activeCell="F32" sqref="F32"/>
    </sheetView>
  </sheetViews>
  <sheetFormatPr defaultRowHeight="15.75" x14ac:dyDescent="0.25"/>
  <cols>
    <col min="1" max="1" width="61.625" customWidth="1"/>
    <col min="2" max="2" width="59.5" customWidth="1"/>
    <col min="3" max="3" width="8.875" customWidth="1"/>
    <col min="6" max="6" width="10.75" customWidth="1"/>
    <col min="10" max="10" width="9" style="8"/>
  </cols>
  <sheetData>
    <row r="1" spans="1:6" x14ac:dyDescent="0.25">
      <c r="A1" s="9" t="s">
        <v>53</v>
      </c>
      <c r="B1" s="9"/>
      <c r="C1" s="12" t="s">
        <v>84</v>
      </c>
      <c r="D1" s="13"/>
      <c r="E1" s="13"/>
      <c r="F1" s="14"/>
    </row>
    <row r="2" spans="1:6" x14ac:dyDescent="0.25">
      <c r="A2" s="4" t="s">
        <v>81</v>
      </c>
      <c r="B2" s="4" t="s">
        <v>27</v>
      </c>
      <c r="C2" s="15" t="s">
        <v>88</v>
      </c>
      <c r="D2" s="16"/>
      <c r="E2" s="16"/>
      <c r="F2" s="18"/>
    </row>
    <row r="3" spans="1:6" x14ac:dyDescent="0.25">
      <c r="A3" s="10" t="s">
        <v>82</v>
      </c>
      <c r="B3" s="10" t="s">
        <v>32</v>
      </c>
      <c r="C3" s="17" t="s">
        <v>89</v>
      </c>
      <c r="D3" s="19"/>
      <c r="E3" s="19"/>
      <c r="F3" s="20"/>
    </row>
    <row r="4" spans="1:6" x14ac:dyDescent="0.25">
      <c r="A4" s="11" t="s">
        <v>83</v>
      </c>
      <c r="B4" s="11" t="s">
        <v>60</v>
      </c>
      <c r="C4" s="17" t="s">
        <v>90</v>
      </c>
      <c r="D4" s="19"/>
      <c r="E4" s="19"/>
      <c r="F4" s="20"/>
    </row>
    <row r="5" spans="1:6" x14ac:dyDescent="0.25">
      <c r="A5" s="4" t="s">
        <v>57</v>
      </c>
      <c r="B5" s="4" t="s">
        <v>33</v>
      </c>
      <c r="C5" s="17" t="s">
        <v>91</v>
      </c>
      <c r="D5" s="19"/>
      <c r="E5" s="19"/>
      <c r="F5" s="20"/>
    </row>
    <row r="6" spans="1:6" x14ac:dyDescent="0.25">
      <c r="A6" s="10" t="s">
        <v>52</v>
      </c>
      <c r="B6" s="10" t="s">
        <v>34</v>
      </c>
      <c r="C6" s="17" t="s">
        <v>92</v>
      </c>
      <c r="D6" s="19"/>
      <c r="E6" s="19"/>
      <c r="F6" s="20"/>
    </row>
    <row r="7" spans="1:6" x14ac:dyDescent="0.25">
      <c r="A7" s="11" t="s">
        <v>64</v>
      </c>
      <c r="B7" s="11" t="s">
        <v>65</v>
      </c>
      <c r="C7" s="17" t="s">
        <v>93</v>
      </c>
      <c r="D7" s="19"/>
      <c r="E7" s="19"/>
      <c r="F7" s="20"/>
    </row>
    <row r="8" spans="1:6" x14ac:dyDescent="0.25">
      <c r="A8" s="4" t="s">
        <v>59</v>
      </c>
      <c r="B8" s="4" t="s">
        <v>55</v>
      </c>
      <c r="C8" s="21" t="s">
        <v>94</v>
      </c>
      <c r="D8" s="22"/>
      <c r="E8" s="22"/>
      <c r="F8" s="23"/>
    </row>
    <row r="9" spans="1:6" x14ac:dyDescent="0.25">
      <c r="A9" s="10" t="s">
        <v>36</v>
      </c>
      <c r="B9" s="10" t="s">
        <v>56</v>
      </c>
      <c r="C9" s="12" t="s">
        <v>85</v>
      </c>
      <c r="D9" s="13"/>
      <c r="E9" s="13"/>
      <c r="F9" s="14"/>
    </row>
    <row r="10" spans="1:6" x14ac:dyDescent="0.25">
      <c r="A10" s="11" t="s">
        <v>63</v>
      </c>
      <c r="B10" s="11" t="s">
        <v>66</v>
      </c>
      <c r="C10" s="24" t="s">
        <v>88</v>
      </c>
      <c r="D10" s="25"/>
      <c r="E10" s="25"/>
      <c r="F10" s="26"/>
    </row>
    <row r="11" spans="1:6" x14ac:dyDescent="0.25">
      <c r="A11" s="4" t="s">
        <v>58</v>
      </c>
      <c r="B11" s="4" t="s">
        <v>54</v>
      </c>
      <c r="C11" s="27" t="s">
        <v>96</v>
      </c>
      <c r="D11" s="28"/>
      <c r="E11" s="28"/>
      <c r="F11" s="29"/>
    </row>
    <row r="12" spans="1:6" x14ac:dyDescent="0.25">
      <c r="A12" s="10" t="s">
        <v>37</v>
      </c>
      <c r="B12" s="10" t="s">
        <v>35</v>
      </c>
      <c r="C12" s="27" t="s">
        <v>97</v>
      </c>
      <c r="D12" s="28"/>
      <c r="E12" s="28"/>
      <c r="F12" s="29"/>
    </row>
    <row r="13" spans="1:6" x14ac:dyDescent="0.25">
      <c r="A13" s="11" t="s">
        <v>25</v>
      </c>
      <c r="B13" s="11" t="s">
        <v>67</v>
      </c>
      <c r="C13" s="27" t="s">
        <v>98</v>
      </c>
      <c r="D13" s="28"/>
      <c r="E13" s="28"/>
      <c r="F13" s="29"/>
    </row>
    <row r="14" spans="1:6" x14ac:dyDescent="0.25">
      <c r="A14" s="4" t="s">
        <v>75</v>
      </c>
      <c r="B14" s="4" t="s">
        <v>38</v>
      </c>
      <c r="C14" s="30" t="s">
        <v>86</v>
      </c>
      <c r="D14" s="31"/>
      <c r="E14" s="31"/>
      <c r="F14" s="32"/>
    </row>
    <row r="15" spans="1:6" x14ac:dyDescent="0.25">
      <c r="A15" s="10" t="s">
        <v>76</v>
      </c>
      <c r="B15" s="10" t="s">
        <v>39</v>
      </c>
      <c r="C15" s="27" t="s">
        <v>95</v>
      </c>
      <c r="D15" s="28"/>
      <c r="E15" s="28"/>
      <c r="F15" s="29"/>
    </row>
    <row r="16" spans="1:6" x14ac:dyDescent="0.25">
      <c r="A16" s="11" t="s">
        <v>77</v>
      </c>
      <c r="B16" s="11" t="s">
        <v>68</v>
      </c>
      <c r="C16" s="27" t="s">
        <v>99</v>
      </c>
      <c r="D16" s="28"/>
      <c r="E16" s="28"/>
      <c r="F16" s="29"/>
    </row>
    <row r="17" spans="1:6" x14ac:dyDescent="0.25">
      <c r="A17" s="4" t="s">
        <v>79</v>
      </c>
      <c r="B17" s="4" t="s">
        <v>40</v>
      </c>
      <c r="C17" s="27" t="s">
        <v>100</v>
      </c>
      <c r="D17" s="28"/>
      <c r="E17" s="28"/>
      <c r="F17" s="29"/>
    </row>
    <row r="18" spans="1:6" x14ac:dyDescent="0.25">
      <c r="A18" s="10" t="s">
        <v>78</v>
      </c>
      <c r="B18" s="10" t="s">
        <v>41</v>
      </c>
      <c r="C18" s="30" t="s">
        <v>87</v>
      </c>
      <c r="D18" s="31"/>
      <c r="E18" s="31"/>
      <c r="F18" s="32"/>
    </row>
    <row r="19" spans="1:6" x14ac:dyDescent="0.25">
      <c r="A19" s="11" t="s">
        <v>80</v>
      </c>
      <c r="B19" s="11" t="s">
        <v>69</v>
      </c>
      <c r="C19" s="27" t="s">
        <v>101</v>
      </c>
      <c r="D19" s="28"/>
      <c r="E19" s="28"/>
      <c r="F19" s="29"/>
    </row>
    <row r="20" spans="1:6" x14ac:dyDescent="0.25">
      <c r="A20" s="4" t="s">
        <v>29</v>
      </c>
      <c r="B20" s="4" t="s">
        <v>42</v>
      </c>
      <c r="C20" s="21" t="s">
        <v>102</v>
      </c>
      <c r="D20" s="22"/>
      <c r="E20" s="22"/>
      <c r="F20" s="23"/>
    </row>
    <row r="21" spans="1:6" x14ac:dyDescent="0.25">
      <c r="A21" s="10" t="s">
        <v>28</v>
      </c>
      <c r="B21" s="10" t="s">
        <v>45</v>
      </c>
      <c r="C21" s="33" t="s">
        <v>103</v>
      </c>
      <c r="D21" s="34"/>
      <c r="E21" s="34"/>
      <c r="F21" s="34"/>
    </row>
    <row r="22" spans="1:6" x14ac:dyDescent="0.25">
      <c r="A22" s="11" t="s">
        <v>62</v>
      </c>
      <c r="B22" s="11" t="s">
        <v>70</v>
      </c>
      <c r="C22" s="35"/>
      <c r="D22" s="36"/>
      <c r="E22" s="36"/>
      <c r="F22" s="36"/>
    </row>
    <row r="23" spans="1:6" x14ac:dyDescent="0.25">
      <c r="A23" s="4" t="s">
        <v>30</v>
      </c>
      <c r="B23" s="4" t="s">
        <v>43</v>
      </c>
      <c r="C23" s="38"/>
      <c r="D23" s="39"/>
      <c r="E23" s="39"/>
      <c r="F23" s="39"/>
    </row>
    <row r="24" spans="1:6" x14ac:dyDescent="0.25">
      <c r="A24" s="10" t="s">
        <v>31</v>
      </c>
      <c r="B24" s="10" t="s">
        <v>44</v>
      </c>
      <c r="C24" s="40"/>
      <c r="D24" s="39"/>
      <c r="E24" s="39"/>
      <c r="F24" s="39"/>
    </row>
    <row r="25" spans="1:6" x14ac:dyDescent="0.25">
      <c r="A25" s="10" t="s">
        <v>61</v>
      </c>
      <c r="B25" s="10" t="s">
        <v>71</v>
      </c>
    </row>
    <row r="26" spans="1:6" x14ac:dyDescent="0.25">
      <c r="A26" s="4" t="s">
        <v>46</v>
      </c>
      <c r="B26" s="4" t="s">
        <v>48</v>
      </c>
    </row>
    <row r="27" spans="1:6" x14ac:dyDescent="0.25">
      <c r="A27" s="10" t="s">
        <v>47</v>
      </c>
      <c r="B27" s="10" t="s">
        <v>49</v>
      </c>
    </row>
    <row r="28" spans="1:6" x14ac:dyDescent="0.25">
      <c r="A28" s="11" t="s">
        <v>72</v>
      </c>
      <c r="B28" s="11" t="s">
        <v>73</v>
      </c>
      <c r="C28" s="37"/>
    </row>
    <row r="29" spans="1:6" x14ac:dyDescent="0.25">
      <c r="A29" s="4" t="s">
        <v>50</v>
      </c>
      <c r="B29" s="4"/>
    </row>
    <row r="30" spans="1:6" x14ac:dyDescent="0.25">
      <c r="A30" s="10" t="s">
        <v>51</v>
      </c>
      <c r="B30" s="10"/>
    </row>
    <row r="31" spans="1:6" x14ac:dyDescent="0.25">
      <c r="A31" s="11" t="s">
        <v>74</v>
      </c>
      <c r="B31" s="11"/>
    </row>
    <row r="39" ht="16.5" customHeight="1" x14ac:dyDescent="0.25"/>
    <row r="40" ht="16.5" customHeight="1" x14ac:dyDescent="0.25"/>
  </sheetData>
  <mergeCells count="12">
    <mergeCell ref="C20:F20"/>
    <mergeCell ref="C9:F9"/>
    <mergeCell ref="C21:F22"/>
    <mergeCell ref="C7:F7"/>
    <mergeCell ref="C8:F8"/>
    <mergeCell ref="A1:B1"/>
    <mergeCell ref="C1:F1"/>
    <mergeCell ref="C3:F3"/>
    <mergeCell ref="C4:F4"/>
    <mergeCell ref="C2:F2"/>
    <mergeCell ref="C5:F5"/>
    <mergeCell ref="C6:F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2A77E-EDE1-474B-8086-304916F9A3A5}">
  <sheetPr codeName="Sheet3"/>
  <dimension ref="A1:P108"/>
  <sheetViews>
    <sheetView tabSelected="1" zoomScale="70" zoomScaleNormal="70" workbookViewId="0">
      <selection activeCell="O19" sqref="O19"/>
    </sheetView>
  </sheetViews>
  <sheetFormatPr defaultRowHeight="15.75" x14ac:dyDescent="0.25"/>
  <cols>
    <col min="1" max="1" width="8" customWidth="1"/>
    <col min="2" max="2" width="44.125" customWidth="1"/>
    <col min="3" max="11" width="12.625" customWidth="1"/>
    <col min="14" max="14" width="9.25" customWidth="1"/>
    <col min="15" max="15" width="12.125" customWidth="1"/>
  </cols>
  <sheetData>
    <row r="1" spans="1:16" s="5" customFormat="1" x14ac:dyDescent="0.25">
      <c r="A1" s="5" t="str" cm="1">
        <f t="array" ref="A1:K108">report_finance_vnd(M2,N2,O2,P2)</f>
        <v/>
      </c>
      <c r="B1" s="5" t="str">
        <v>itemVnName</v>
      </c>
      <c r="C1" s="5" t="str">
        <v>2014-12-31</v>
      </c>
      <c r="D1" s="5" t="str">
        <v>2015-12-31</v>
      </c>
      <c r="E1" s="5" t="str">
        <v>2016-12-31</v>
      </c>
      <c r="F1" s="5" t="str">
        <v>2017-12-31</v>
      </c>
      <c r="G1" s="5" t="str">
        <v>2018-12-31</v>
      </c>
      <c r="H1" s="5" t="str">
        <v>2019-12-31</v>
      </c>
      <c r="I1" s="5" t="str">
        <v>2020-12-31</v>
      </c>
      <c r="J1" s="5" t="str">
        <v>2021-12-31</v>
      </c>
      <c r="K1" s="5" t="str">
        <v>2022-12-31</v>
      </c>
      <c r="L1" s="6"/>
      <c r="M1" s="4" t="s">
        <v>16</v>
      </c>
      <c r="N1" s="4" t="s">
        <v>15</v>
      </c>
      <c r="O1" s="4" t="s">
        <v>17</v>
      </c>
      <c r="P1" s="4" t="s">
        <v>18</v>
      </c>
    </row>
    <row r="2" spans="1:16" x14ac:dyDescent="0.25">
      <c r="A2">
        <v>0</v>
      </c>
      <c r="B2" t="str">
        <v>TỔNG CỘNG TÀI SẢN</v>
      </c>
      <c r="C2">
        <v>8914435465737</v>
      </c>
      <c r="D2">
        <v>12153431597528</v>
      </c>
      <c r="E2">
        <v>13227969251704</v>
      </c>
      <c r="F2">
        <v>18764375171848</v>
      </c>
      <c r="G2">
        <v>23825626725361</v>
      </c>
      <c r="H2">
        <v>27044115024913</v>
      </c>
      <c r="I2">
        <v>35769528008240</v>
      </c>
      <c r="J2">
        <v>50793056562082</v>
      </c>
      <c r="K2">
        <v>52226382886481</v>
      </c>
      <c r="M2" s="3" t="s">
        <v>19</v>
      </c>
      <c r="N2" s="3" t="s">
        <v>20</v>
      </c>
      <c r="O2" s="3">
        <v>2023</v>
      </c>
      <c r="P2" s="3" t="s">
        <v>23</v>
      </c>
    </row>
    <row r="3" spans="1:16" x14ac:dyDescent="0.25">
      <c r="A3">
        <v>1</v>
      </c>
      <c r="B3" t="str">
        <v>Tài sản ngắn hạn</v>
      </c>
      <c r="C3">
        <v>6412052850650</v>
      </c>
      <c r="D3">
        <v>10974951947412</v>
      </c>
      <c r="E3">
        <v>11884989070539</v>
      </c>
      <c r="F3">
        <v>17227983148329</v>
      </c>
      <c r="G3">
        <v>22270357215928</v>
      </c>
      <c r="H3">
        <v>22290867181933</v>
      </c>
      <c r="I3">
        <v>29040031499577</v>
      </c>
      <c r="J3">
        <v>46539595154345</v>
      </c>
      <c r="K3">
        <v>48731915104609</v>
      </c>
      <c r="M3" s="3"/>
      <c r="N3" s="3" t="s">
        <v>21</v>
      </c>
      <c r="O3" s="3"/>
      <c r="P3" s="3" t="s">
        <v>24</v>
      </c>
    </row>
    <row r="4" spans="1:16" x14ac:dyDescent="0.25">
      <c r="A4">
        <v>2</v>
      </c>
      <c r="B4" t="str">
        <v>Tài sản tài chính ngắn hạn</v>
      </c>
      <c r="C4">
        <v>6393321667078</v>
      </c>
      <c r="D4">
        <v>10733304674029</v>
      </c>
      <c r="E4">
        <v>11786485397072</v>
      </c>
      <c r="F4">
        <v>17092445491929</v>
      </c>
      <c r="G4">
        <v>22237874265510</v>
      </c>
      <c r="H4">
        <v>22255950496752</v>
      </c>
      <c r="I4">
        <v>28888812866430</v>
      </c>
      <c r="J4">
        <v>46464265826322</v>
      </c>
      <c r="K4">
        <v>48621880319731</v>
      </c>
      <c r="M4" s="3"/>
      <c r="N4" s="3" t="s">
        <v>22</v>
      </c>
      <c r="O4" s="3"/>
      <c r="P4" s="3"/>
    </row>
    <row r="5" spans="1:16" x14ac:dyDescent="0.25">
      <c r="A5">
        <v>3</v>
      </c>
      <c r="B5" t="str">
        <v>Tiền và các khoản tương đương tiền</v>
      </c>
      <c r="C5">
        <v>1952651885005</v>
      </c>
      <c r="D5">
        <v>746360295275</v>
      </c>
      <c r="E5">
        <v>308564964314</v>
      </c>
      <c r="F5">
        <v>345985713191</v>
      </c>
      <c r="G5">
        <v>612880138860</v>
      </c>
      <c r="H5">
        <v>1040782610354</v>
      </c>
      <c r="I5">
        <v>363251901483</v>
      </c>
      <c r="J5">
        <v>1114235031501</v>
      </c>
      <c r="K5">
        <v>1417807262731</v>
      </c>
    </row>
    <row r="6" spans="1:16" x14ac:dyDescent="0.25">
      <c r="A6">
        <v>4</v>
      </c>
      <c r="B6" t="str">
        <v>Các khoản đầu tư tài chính ngắn hạn</v>
      </c>
      <c r="C6">
        <v>2189454760896</v>
      </c>
      <c r="D6">
        <v>9957195781474</v>
      </c>
      <c r="E6">
        <v>11379984376860</v>
      </c>
      <c r="F6">
        <v>16589161661936</v>
      </c>
      <c r="G6">
        <v>21568296458635</v>
      </c>
      <c r="H6">
        <v>21115393069455</v>
      </c>
      <c r="I6">
        <v>28207692217416</v>
      </c>
      <c r="J6">
        <v>43764389792908</v>
      </c>
      <c r="K6">
        <v>45402177277290</v>
      </c>
    </row>
    <row r="7" spans="1:16" x14ac:dyDescent="0.25">
      <c r="A7">
        <v>5</v>
      </c>
      <c r="B7" t="str">
        <v>Các khoản phải thu ngắn hạn</v>
      </c>
      <c r="C7">
        <v>2251215021177</v>
      </c>
      <c r="D7">
        <v>29748597280</v>
      </c>
      <c r="E7">
        <v>97936055898</v>
      </c>
      <c r="F7">
        <v>157298116802</v>
      </c>
      <c r="G7">
        <v>56697668015</v>
      </c>
      <c r="H7">
        <v>99774816943</v>
      </c>
      <c r="I7">
        <v>317868747531</v>
      </c>
      <c r="J7">
        <v>1585641001913</v>
      </c>
      <c r="K7">
        <v>1801895779710</v>
      </c>
    </row>
    <row r="8" spans="1:16" x14ac:dyDescent="0.25">
      <c r="A8">
        <v>6</v>
      </c>
      <c r="B8" t="str">
        <v>Hàng tồn kho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6" x14ac:dyDescent="0.25">
      <c r="A9">
        <v>7</v>
      </c>
      <c r="B9" t="str">
        <v>Tài sản ngắn hạn khác</v>
      </c>
      <c r="C9">
        <v>18731183572</v>
      </c>
      <c r="D9">
        <v>241647273383</v>
      </c>
      <c r="E9">
        <v>98503673467</v>
      </c>
      <c r="F9">
        <v>135537656400</v>
      </c>
      <c r="G9">
        <v>32482950418</v>
      </c>
      <c r="H9">
        <v>34916685181</v>
      </c>
      <c r="I9">
        <v>151218633147</v>
      </c>
      <c r="J9">
        <v>75329328023</v>
      </c>
      <c r="K9">
        <v>110034784878</v>
      </c>
    </row>
    <row r="10" spans="1:16" x14ac:dyDescent="0.25">
      <c r="A10">
        <v>8</v>
      </c>
      <c r="B10" t="str">
        <v>Tạm ứng</v>
      </c>
      <c r="C10">
        <v>0</v>
      </c>
      <c r="D10">
        <v>3278848232</v>
      </c>
      <c r="E10">
        <v>9231952863</v>
      </c>
      <c r="F10">
        <v>9001649610</v>
      </c>
      <c r="G10">
        <v>3843488923</v>
      </c>
      <c r="H10">
        <v>8518495603</v>
      </c>
      <c r="I10">
        <v>9485824434</v>
      </c>
      <c r="J10">
        <v>11989717067</v>
      </c>
      <c r="K10">
        <v>28116569085</v>
      </c>
    </row>
    <row r="11" spans="1:16" x14ac:dyDescent="0.25">
      <c r="A11">
        <v>9</v>
      </c>
      <c r="B11" t="str">
        <v>Vật tư văn phòng, công cụ, dụng cụ</v>
      </c>
      <c r="C11">
        <v>0</v>
      </c>
      <c r="D11">
        <v>0</v>
      </c>
      <c r="E11">
        <v>0</v>
      </c>
      <c r="F11">
        <v>53710015</v>
      </c>
      <c r="G11">
        <v>2959982619</v>
      </c>
      <c r="H11">
        <v>1265969684</v>
      </c>
      <c r="I11">
        <v>757153145</v>
      </c>
      <c r="J11">
        <v>3314801546</v>
      </c>
      <c r="K11">
        <v>4458362981</v>
      </c>
    </row>
    <row r="12" spans="1:16" x14ac:dyDescent="0.25">
      <c r="A12">
        <v>10</v>
      </c>
      <c r="B12" t="str">
        <v>Chi phí trả trước ngắn hạn</v>
      </c>
      <c r="C12">
        <v>5404456902</v>
      </c>
      <c r="D12">
        <v>8548603317</v>
      </c>
      <c r="E12">
        <v>7665228021</v>
      </c>
      <c r="F12">
        <v>10575869709</v>
      </c>
      <c r="G12">
        <v>21364723566</v>
      </c>
      <c r="H12">
        <v>20490357667</v>
      </c>
      <c r="I12">
        <v>26367151317</v>
      </c>
      <c r="J12">
        <v>53559486327</v>
      </c>
      <c r="K12">
        <v>74314488778</v>
      </c>
    </row>
    <row r="13" spans="1:16" x14ac:dyDescent="0.25">
      <c r="A13">
        <v>11</v>
      </c>
      <c r="B13" t="str">
        <v>Tài sản cầm cố, ký cược, ký quỹ ngắn hạn</v>
      </c>
      <c r="C13">
        <v>0</v>
      </c>
      <c r="D13">
        <v>851648005</v>
      </c>
      <c r="E13">
        <v>893430260</v>
      </c>
      <c r="F13">
        <v>931717910</v>
      </c>
      <c r="G13">
        <v>856602610</v>
      </c>
      <c r="H13">
        <v>967194260</v>
      </c>
      <c r="I13">
        <v>2091082550</v>
      </c>
      <c r="J13">
        <v>3832647350</v>
      </c>
      <c r="K13">
        <v>365116300</v>
      </c>
    </row>
    <row r="14" spans="1:16" x14ac:dyDescent="0.25">
      <c r="A14">
        <v>12</v>
      </c>
      <c r="B14" t="str">
        <v>Thuế VAT được khấu trừ</v>
      </c>
      <c r="C14" t="str">
        <v/>
      </c>
      <c r="D14" t="str">
        <v/>
      </c>
      <c r="E14" t="str">
        <v/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6" x14ac:dyDescent="0.25">
      <c r="A15">
        <v>13</v>
      </c>
      <c r="B15" t="str">
        <v>Thuế và các khoản khác phải thu Nhà nước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597877333</v>
      </c>
      <c r="K15">
        <v>504363766</v>
      </c>
    </row>
    <row r="16" spans="1:16" x14ac:dyDescent="0.25">
      <c r="A16">
        <v>14</v>
      </c>
      <c r="B16" t="str">
        <v>Giao dịch mua bán lại trái phiếu chính phủ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25">
      <c r="A17">
        <v>15</v>
      </c>
      <c r="B17" t="str">
        <v>Tài sản ngắn hạn khác</v>
      </c>
      <c r="C17">
        <v>13282287092</v>
      </c>
      <c r="D17">
        <v>228968173829</v>
      </c>
      <c r="E17">
        <v>80713062323</v>
      </c>
      <c r="F17">
        <v>114974709156</v>
      </c>
      <c r="G17">
        <v>3458152700</v>
      </c>
      <c r="H17">
        <v>3674667967</v>
      </c>
      <c r="I17">
        <v>112517421701</v>
      </c>
      <c r="J17">
        <v>2034798400</v>
      </c>
      <c r="K17">
        <v>2275883968</v>
      </c>
    </row>
    <row r="18" spans="1:11" x14ac:dyDescent="0.25">
      <c r="A18">
        <v>16</v>
      </c>
      <c r="B18" t="str">
        <v xml:space="preserve"> Dự phòng suy giảm giá trị TSNH khác 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 x14ac:dyDescent="0.25">
      <c r="A19">
        <v>17</v>
      </c>
      <c r="B19" t="str">
        <v>Tài sản dài hạn</v>
      </c>
      <c r="C19">
        <v>2502382615087</v>
      </c>
      <c r="D19">
        <v>1178479650116</v>
      </c>
      <c r="E19">
        <v>1342980181165</v>
      </c>
      <c r="F19">
        <v>1536392023519</v>
      </c>
      <c r="G19">
        <v>1555269509433</v>
      </c>
      <c r="H19">
        <v>4753247842980</v>
      </c>
      <c r="I19">
        <v>6729496508663</v>
      </c>
      <c r="J19">
        <v>4253461407737</v>
      </c>
      <c r="K19">
        <v>3494467781872</v>
      </c>
    </row>
    <row r="20" spans="1:11" x14ac:dyDescent="0.25">
      <c r="A20">
        <v>18</v>
      </c>
      <c r="B20" t="str">
        <v>Tài sản tài chính dài hạn</v>
      </c>
      <c r="C20">
        <v>1994645599205</v>
      </c>
      <c r="D20">
        <v>687417114391</v>
      </c>
      <c r="E20">
        <v>750343966349</v>
      </c>
      <c r="F20">
        <v>943369693465</v>
      </c>
      <c r="G20">
        <v>1065902838568</v>
      </c>
      <c r="H20">
        <v>4238855852478</v>
      </c>
      <c r="I20">
        <v>6249810538455</v>
      </c>
      <c r="J20">
        <v>3689345130340</v>
      </c>
      <c r="K20">
        <v>2773073277309</v>
      </c>
    </row>
    <row r="21" spans="1:11" x14ac:dyDescent="0.25">
      <c r="A21">
        <v>19</v>
      </c>
      <c r="B21" t="str">
        <v>Các khoản phải thu dài hạn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25">
      <c r="A22">
        <v>20</v>
      </c>
      <c r="B22" t="str">
        <v>Các khoản đầu tư tài chính dài hạn</v>
      </c>
      <c r="C22">
        <v>1994645599205</v>
      </c>
      <c r="D22">
        <v>687417114391</v>
      </c>
      <c r="E22">
        <v>750343966349</v>
      </c>
      <c r="F22">
        <v>943369693465</v>
      </c>
      <c r="G22">
        <v>1065902838568</v>
      </c>
      <c r="H22">
        <v>4238855852478</v>
      </c>
      <c r="I22">
        <v>6249810538455</v>
      </c>
      <c r="J22">
        <v>3689345130340</v>
      </c>
      <c r="K22">
        <v>2773073277309</v>
      </c>
    </row>
    <row r="23" spans="1:11" x14ac:dyDescent="0.25">
      <c r="A23">
        <v>21</v>
      </c>
      <c r="B23" t="str">
        <v>Tài sản cố định</v>
      </c>
      <c r="C23">
        <v>139466904286</v>
      </c>
      <c r="D23">
        <v>131980403084</v>
      </c>
      <c r="E23">
        <v>131416882683</v>
      </c>
      <c r="F23">
        <v>161101323414</v>
      </c>
      <c r="G23">
        <v>118742648730</v>
      </c>
      <c r="H23">
        <v>147012729467</v>
      </c>
      <c r="I23">
        <v>148288324557</v>
      </c>
      <c r="J23">
        <v>188965446921</v>
      </c>
      <c r="K23">
        <v>281930596475</v>
      </c>
    </row>
    <row r="24" spans="1:11" x14ac:dyDescent="0.25">
      <c r="A24">
        <v>22</v>
      </c>
      <c r="B24" t="str">
        <v>Tài sản cố định hữu hình</v>
      </c>
      <c r="C24">
        <v>19380118523</v>
      </c>
      <c r="D24">
        <v>14797817761</v>
      </c>
      <c r="E24">
        <v>12569448484</v>
      </c>
      <c r="F24">
        <v>32942324482</v>
      </c>
      <c r="G24">
        <v>84097724124</v>
      </c>
      <c r="H24">
        <v>96560532972</v>
      </c>
      <c r="I24">
        <v>98435823134</v>
      </c>
      <c r="J24">
        <v>135989246335</v>
      </c>
      <c r="K24">
        <v>181650691412</v>
      </c>
    </row>
    <row r="25" spans="1:11" x14ac:dyDescent="0.25">
      <c r="A25">
        <v>23</v>
      </c>
      <c r="B25" t="str">
        <v>Tài sản cố định thuê tài chính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25">
      <c r="A26">
        <v>24</v>
      </c>
      <c r="B26" t="str">
        <v>Tài sản cố định vô hình</v>
      </c>
      <c r="C26">
        <v>120086785763</v>
      </c>
      <c r="D26">
        <v>116884245323</v>
      </c>
      <c r="E26">
        <v>118847434199</v>
      </c>
      <c r="F26">
        <v>128158998932</v>
      </c>
      <c r="G26">
        <v>34644924606</v>
      </c>
      <c r="H26">
        <v>50452196495</v>
      </c>
      <c r="I26">
        <v>49852501423</v>
      </c>
      <c r="J26">
        <v>52976200586</v>
      </c>
      <c r="K26">
        <v>100279905063</v>
      </c>
    </row>
    <row r="27" spans="1:11" x14ac:dyDescent="0.25">
      <c r="A27">
        <v>25</v>
      </c>
      <c r="B27" t="str">
        <v>Chi phí xây dựng cơ bản dở dang (trước 2015)</v>
      </c>
      <c r="C27">
        <v>0</v>
      </c>
      <c r="D27">
        <v>298340000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25">
      <c r="A28">
        <v>26</v>
      </c>
      <c r="B28" t="str">
        <v>Bất động sản đầu tư</v>
      </c>
      <c r="C28">
        <v>252260031185</v>
      </c>
      <c r="D28">
        <v>268409921032</v>
      </c>
      <c r="E28">
        <v>261341171964</v>
      </c>
      <c r="F28">
        <v>218230726962</v>
      </c>
      <c r="G28">
        <v>214561642609</v>
      </c>
      <c r="H28">
        <v>205776532750</v>
      </c>
      <c r="I28">
        <v>196767751014</v>
      </c>
      <c r="J28">
        <v>233184318475</v>
      </c>
      <c r="K28">
        <v>265112905732</v>
      </c>
    </row>
    <row r="29" spans="1:11" x14ac:dyDescent="0.25">
      <c r="A29">
        <v>27</v>
      </c>
      <c r="B29" t="str">
        <v>Nguyên giá bất động sản đầu tư</v>
      </c>
      <c r="C29">
        <v>283612736520</v>
      </c>
      <c r="D29">
        <v>311647615101</v>
      </c>
      <c r="E29">
        <v>314275801824</v>
      </c>
      <c r="F29">
        <v>272917757575</v>
      </c>
      <c r="G29">
        <v>278818031178</v>
      </c>
      <c r="H29">
        <v>278276169317</v>
      </c>
      <c r="I29">
        <v>277373066215</v>
      </c>
      <c r="J29">
        <v>320664842428</v>
      </c>
      <c r="K29">
        <v>365497402113</v>
      </c>
    </row>
    <row r="30" spans="1:11" x14ac:dyDescent="0.25">
      <c r="A30">
        <v>28</v>
      </c>
      <c r="B30" t="str">
        <v>Hao mòn bất động sản đầu tư</v>
      </c>
      <c r="C30">
        <v>-31352705335</v>
      </c>
      <c r="D30">
        <v>-43237694069</v>
      </c>
      <c r="E30">
        <v>-52934629860</v>
      </c>
      <c r="F30">
        <v>-54687030613</v>
      </c>
      <c r="G30">
        <v>-64256388569</v>
      </c>
      <c r="H30">
        <v>-72499636567</v>
      </c>
      <c r="I30">
        <v>-80605315201</v>
      </c>
      <c r="J30">
        <v>-87480523953</v>
      </c>
      <c r="K30">
        <v>-100384496381</v>
      </c>
    </row>
    <row r="31" spans="1:11" x14ac:dyDescent="0.25">
      <c r="A31">
        <v>29</v>
      </c>
      <c r="B31" t="str">
        <v>Đánh giá BĐSĐT theo giá trị hợp lý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25">
      <c r="A32">
        <v>30</v>
      </c>
      <c r="B32" t="str">
        <v>Tài sản dở dang dài hạn</v>
      </c>
      <c r="C32">
        <v>0</v>
      </c>
      <c r="D32">
        <v>0</v>
      </c>
      <c r="E32">
        <v>46777509012</v>
      </c>
      <c r="F32">
        <v>47154474755</v>
      </c>
      <c r="G32">
        <v>4923184107</v>
      </c>
      <c r="H32">
        <v>29450054289</v>
      </c>
      <c r="I32">
        <v>43076046646</v>
      </c>
      <c r="J32">
        <v>34927073550</v>
      </c>
      <c r="K32">
        <v>25900319841</v>
      </c>
    </row>
    <row r="33" spans="1:11" x14ac:dyDescent="0.25">
      <c r="A33">
        <v>31</v>
      </c>
      <c r="B33" t="str">
        <v>Chi phí sản xuất, kinh doanh dở dang dài hạn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x14ac:dyDescent="0.25">
      <c r="A34">
        <v>32</v>
      </c>
      <c r="B34" t="str">
        <v xml:space="preserve">Chi phí xây dựng cơ bản dở dang </v>
      </c>
      <c r="C34">
        <v>0</v>
      </c>
      <c r="D34">
        <v>0</v>
      </c>
      <c r="E34">
        <v>46777509012</v>
      </c>
      <c r="F34">
        <v>47154474755</v>
      </c>
      <c r="G34">
        <v>4923184107</v>
      </c>
      <c r="H34">
        <v>29450054289</v>
      </c>
      <c r="I34">
        <v>43076046646</v>
      </c>
      <c r="J34">
        <v>34927073550</v>
      </c>
      <c r="K34">
        <v>25900319841</v>
      </c>
    </row>
    <row r="35" spans="1:11" x14ac:dyDescent="0.25">
      <c r="A35">
        <v>33</v>
      </c>
      <c r="B35" t="str">
        <v>Tài sản dài hạn khác</v>
      </c>
      <c r="C35">
        <v>116010080411</v>
      </c>
      <c r="D35">
        <v>90672211609</v>
      </c>
      <c r="E35">
        <v>153100651157</v>
      </c>
      <c r="F35">
        <v>166535804923</v>
      </c>
      <c r="G35">
        <v>151139195419</v>
      </c>
      <c r="H35">
        <v>132152673996</v>
      </c>
      <c r="I35">
        <v>91553847991</v>
      </c>
      <c r="J35">
        <v>107039438451</v>
      </c>
      <c r="K35">
        <v>148450682515</v>
      </c>
    </row>
    <row r="36" spans="1:11" x14ac:dyDescent="0.25">
      <c r="A36">
        <v>34</v>
      </c>
      <c r="B36" t="str">
        <v>Cầm cố, ký quỹ, ký cược dài hạn khác</v>
      </c>
      <c r="C36">
        <v>0</v>
      </c>
      <c r="D36">
        <v>17287240210</v>
      </c>
      <c r="E36">
        <v>19105729716</v>
      </c>
      <c r="F36">
        <v>19416533466</v>
      </c>
      <c r="G36">
        <v>23978605906</v>
      </c>
      <c r="H36">
        <v>28140461156</v>
      </c>
      <c r="I36">
        <v>17467595615</v>
      </c>
      <c r="J36">
        <v>32586638490</v>
      </c>
      <c r="K36">
        <v>33856918392</v>
      </c>
    </row>
    <row r="37" spans="1:11" x14ac:dyDescent="0.25">
      <c r="A37">
        <v>35</v>
      </c>
      <c r="B37" t="str">
        <v>Chi phí trả trước dài hạn</v>
      </c>
      <c r="C37">
        <v>1084463623</v>
      </c>
      <c r="D37">
        <v>2405087368</v>
      </c>
      <c r="E37">
        <v>25895763102</v>
      </c>
      <c r="F37">
        <v>35571900952</v>
      </c>
      <c r="G37">
        <v>40312468926</v>
      </c>
      <c r="H37">
        <v>37088043669</v>
      </c>
      <c r="I37">
        <v>25668947928</v>
      </c>
      <c r="J37">
        <v>24502030428</v>
      </c>
      <c r="K37">
        <v>53000229779</v>
      </c>
    </row>
    <row r="38" spans="1:11" x14ac:dyDescent="0.25">
      <c r="A38">
        <v>36</v>
      </c>
      <c r="B38" t="str">
        <v>Tài sản thuế thu nhập hoãn lại</v>
      </c>
      <c r="C38">
        <v>88452941782</v>
      </c>
      <c r="D38">
        <v>50979884031</v>
      </c>
      <c r="E38">
        <v>88099158339</v>
      </c>
      <c r="F38">
        <v>76547370505</v>
      </c>
      <c r="G38">
        <v>51848120587</v>
      </c>
      <c r="H38">
        <v>31924169171</v>
      </c>
      <c r="I38">
        <v>13417304448</v>
      </c>
      <c r="J38">
        <v>14950769533</v>
      </c>
      <c r="K38">
        <v>22684275253</v>
      </c>
    </row>
    <row r="39" spans="1:11" x14ac:dyDescent="0.25">
      <c r="A39">
        <v>37</v>
      </c>
      <c r="B39" t="str">
        <v>Thiết bị, vật tư, phụ tùng thay thế dài hạn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x14ac:dyDescent="0.25">
      <c r="A40">
        <v>38</v>
      </c>
      <c r="B40" t="str">
        <v>Tiền nộp Quỹ hỗ trợ thanh toán</v>
      </c>
      <c r="C40">
        <v>19982911796</v>
      </c>
      <c r="D40">
        <v>20000000000</v>
      </c>
      <c r="E40">
        <v>20000000000</v>
      </c>
      <c r="F40">
        <v>20000000000</v>
      </c>
      <c r="G40">
        <v>20000000000</v>
      </c>
      <c r="H40">
        <v>20000000000</v>
      </c>
      <c r="I40">
        <v>20000000000</v>
      </c>
      <c r="J40">
        <v>20000000000</v>
      </c>
      <c r="K40">
        <v>20000000000</v>
      </c>
    </row>
    <row r="41" spans="1:11" x14ac:dyDescent="0.25">
      <c r="A41">
        <v>39</v>
      </c>
      <c r="B41" t="str">
        <v>Tài sản dài hạn khác</v>
      </c>
      <c r="C41">
        <v>6489763210</v>
      </c>
      <c r="D41">
        <v>0</v>
      </c>
      <c r="E41">
        <v>0</v>
      </c>
      <c r="F41">
        <v>15000000000</v>
      </c>
      <c r="G41">
        <v>15000000000</v>
      </c>
      <c r="H41">
        <v>15000000000</v>
      </c>
      <c r="I41">
        <v>15000000000</v>
      </c>
      <c r="J41">
        <v>15000000000</v>
      </c>
      <c r="K41">
        <v>18909259091</v>
      </c>
    </row>
    <row r="42" spans="1:11" x14ac:dyDescent="0.25">
      <c r="A42">
        <v>40</v>
      </c>
      <c r="B42" t="str">
        <v>Lợi thế thương mại (trước 2015)</v>
      </c>
      <c r="C42" t="str">
        <v/>
      </c>
      <c r="D42" t="str">
        <v/>
      </c>
      <c r="E42" t="str">
        <v/>
      </c>
      <c r="F42" t="str">
        <v/>
      </c>
      <c r="G42" t="str">
        <v/>
      </c>
      <c r="H42" t="str">
        <v/>
      </c>
      <c r="I42" t="str">
        <v/>
      </c>
      <c r="J42" t="str">
        <v/>
      </c>
      <c r="K42" t="str">
        <v/>
      </c>
    </row>
    <row r="43" spans="1:11" x14ac:dyDescent="0.25">
      <c r="A43">
        <v>41</v>
      </c>
      <c r="B43" t="str">
        <v>Lợi thế thương mại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</row>
    <row r="44" spans="1:11" x14ac:dyDescent="0.25">
      <c r="A44">
        <v>42</v>
      </c>
      <c r="B44" t="str">
        <v>Dự phòng suy giảm giá trị tài sản dài hạn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11" x14ac:dyDescent="0.25">
      <c r="A45">
        <v>43</v>
      </c>
      <c r="B45" t="str">
        <v>TỔNG CỘNG NGUỒN VỐN</v>
      </c>
      <c r="C45">
        <v>8914435465737</v>
      </c>
      <c r="D45">
        <v>12153431597528</v>
      </c>
      <c r="E45">
        <v>13227969251704</v>
      </c>
      <c r="F45">
        <v>18764375171848</v>
      </c>
      <c r="G45">
        <v>23825626725361</v>
      </c>
      <c r="H45">
        <v>27044115024913</v>
      </c>
      <c r="I45">
        <v>35769528008240</v>
      </c>
      <c r="J45">
        <v>50793056562082</v>
      </c>
      <c r="K45">
        <v>52226382886481</v>
      </c>
    </row>
    <row r="46" spans="1:11" x14ac:dyDescent="0.25">
      <c r="A46">
        <v>44</v>
      </c>
      <c r="B46" t="str">
        <v>Nợ phải trả</v>
      </c>
      <c r="C46">
        <v>3140629721212</v>
      </c>
      <c r="D46">
        <v>5425822583238</v>
      </c>
      <c r="E46">
        <v>6075402095022</v>
      </c>
      <c r="F46">
        <v>10148125475946</v>
      </c>
      <c r="G46">
        <v>14669962197728</v>
      </c>
      <c r="H46">
        <v>17643055244708</v>
      </c>
      <c r="I46">
        <v>25896730955921</v>
      </c>
      <c r="J46">
        <v>36572973831934</v>
      </c>
      <c r="K46">
        <v>29842500921821</v>
      </c>
    </row>
    <row r="47" spans="1:11" x14ac:dyDescent="0.25">
      <c r="A47">
        <v>45</v>
      </c>
      <c r="B47" t="str">
        <v>Nợ ngắn hạn</v>
      </c>
      <c r="C47">
        <v>3112710665552</v>
      </c>
      <c r="D47">
        <v>4702545475813</v>
      </c>
      <c r="E47">
        <v>5841951456398</v>
      </c>
      <c r="F47">
        <v>9354274432825</v>
      </c>
      <c r="G47">
        <v>13469410255114</v>
      </c>
      <c r="H47">
        <v>16409540660284</v>
      </c>
      <c r="I47">
        <v>25823378537838</v>
      </c>
      <c r="J47">
        <v>36479184836620</v>
      </c>
      <c r="K47">
        <v>29788710759101</v>
      </c>
    </row>
    <row r="48" spans="1:11" x14ac:dyDescent="0.25">
      <c r="A48">
        <v>46</v>
      </c>
      <c r="B48" t="str">
        <v>Vay và nợ ngắn hạn</v>
      </c>
      <c r="C48">
        <v>1506127466877</v>
      </c>
      <c r="D48">
        <v>3913847967537</v>
      </c>
      <c r="E48">
        <v>4819340678085</v>
      </c>
      <c r="F48">
        <v>8503887663684</v>
      </c>
      <c r="G48">
        <v>11193158753866</v>
      </c>
      <c r="H48">
        <v>15550226155457</v>
      </c>
      <c r="I48">
        <v>23351486249171</v>
      </c>
      <c r="J48">
        <v>31120908370195</v>
      </c>
      <c r="K48">
        <v>27892289728472</v>
      </c>
    </row>
    <row r="49" spans="1:11" x14ac:dyDescent="0.25">
      <c r="A49">
        <v>47</v>
      </c>
      <c r="B49" t="str">
        <v xml:space="preserve"> Vay tài sản tài chính ngắn hạn 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 x14ac:dyDescent="0.25">
      <c r="A50">
        <v>48</v>
      </c>
      <c r="B50" t="str">
        <v xml:space="preserve"> Trái phiếu chuyển đổi ngắn hạn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1146531254012</v>
      </c>
      <c r="J50">
        <v>0</v>
      </c>
      <c r="K50">
        <v>0</v>
      </c>
    </row>
    <row r="51" spans="1:11" x14ac:dyDescent="0.25">
      <c r="A51">
        <v>49</v>
      </c>
      <c r="B51" t="str">
        <v>Trái phiếu phát hành ngắn hạn</v>
      </c>
      <c r="C51">
        <v>0</v>
      </c>
      <c r="D51">
        <v>0</v>
      </c>
      <c r="E51">
        <v>376000000000</v>
      </c>
      <c r="F51">
        <v>199871666661</v>
      </c>
      <c r="G51">
        <v>255000000000</v>
      </c>
      <c r="H51">
        <v>0</v>
      </c>
      <c r="I51">
        <v>0</v>
      </c>
      <c r="J51">
        <v>0</v>
      </c>
      <c r="K51">
        <v>0</v>
      </c>
    </row>
    <row r="52" spans="1:11" x14ac:dyDescent="0.25">
      <c r="A52">
        <v>50</v>
      </c>
      <c r="B52" t="str">
        <v xml:space="preserve"> Vay quỹ hộ trợ thanh toán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25">
      <c r="A53">
        <v>51</v>
      </c>
      <c r="B53" t="str">
        <v>Phải trả người bán</v>
      </c>
      <c r="C53">
        <v>3660523934</v>
      </c>
      <c r="D53">
        <v>4847340451</v>
      </c>
      <c r="E53">
        <v>9261510278</v>
      </c>
      <c r="F53">
        <v>7858964986</v>
      </c>
      <c r="G53">
        <v>9871570085</v>
      </c>
      <c r="H53">
        <v>30031870403</v>
      </c>
      <c r="I53">
        <v>31320947588</v>
      </c>
      <c r="J53">
        <v>22249743964</v>
      </c>
      <c r="K53">
        <v>319360885025</v>
      </c>
    </row>
    <row r="54" spans="1:11" x14ac:dyDescent="0.25">
      <c r="A54">
        <v>52</v>
      </c>
      <c r="B54" t="str">
        <v>Người mua trả tiền trước</v>
      </c>
      <c r="C54">
        <v>71967220419</v>
      </c>
      <c r="D54">
        <v>4893483331</v>
      </c>
      <c r="E54">
        <v>4141733170</v>
      </c>
      <c r="F54">
        <v>5119599349</v>
      </c>
      <c r="G54">
        <v>56096109184</v>
      </c>
      <c r="H54">
        <v>5121736077</v>
      </c>
      <c r="I54">
        <v>3702194419</v>
      </c>
      <c r="J54">
        <v>6200501681</v>
      </c>
      <c r="K54">
        <v>4821592590</v>
      </c>
    </row>
    <row r="55" spans="1:11" x14ac:dyDescent="0.25">
      <c r="A55">
        <v>53</v>
      </c>
      <c r="B55" t="str">
        <v>Thuế và các khoản phải nộp Nhà nước</v>
      </c>
      <c r="C55">
        <v>48730855015</v>
      </c>
      <c r="D55">
        <v>91848160110</v>
      </c>
      <c r="E55">
        <v>73816803238</v>
      </c>
      <c r="F55">
        <v>131662750256</v>
      </c>
      <c r="G55">
        <v>69950280972</v>
      </c>
      <c r="H55">
        <v>59461134912</v>
      </c>
      <c r="I55">
        <v>112846025401</v>
      </c>
      <c r="J55">
        <v>352627769284</v>
      </c>
      <c r="K55">
        <v>114962879495</v>
      </c>
    </row>
    <row r="56" spans="1:11" x14ac:dyDescent="0.25">
      <c r="A56">
        <v>54</v>
      </c>
      <c r="B56" t="str">
        <v>Phải trả người lao động</v>
      </c>
      <c r="C56">
        <v>3661862273</v>
      </c>
      <c r="D56">
        <v>3908502405</v>
      </c>
      <c r="E56">
        <v>4726744168</v>
      </c>
      <c r="F56">
        <v>39122549261</v>
      </c>
      <c r="G56">
        <v>42813281214</v>
      </c>
      <c r="H56">
        <v>27172101519</v>
      </c>
      <c r="I56">
        <v>27144111212</v>
      </c>
      <c r="J56">
        <v>138381185157</v>
      </c>
      <c r="K56">
        <v>113560403706</v>
      </c>
    </row>
    <row r="57" spans="1:11" x14ac:dyDescent="0.25">
      <c r="A57">
        <v>55</v>
      </c>
      <c r="B57" t="str">
        <v>Các khoản trích nộp phúc lợi nhân viên</v>
      </c>
      <c r="C57">
        <v>0</v>
      </c>
      <c r="D57">
        <v>6742952</v>
      </c>
      <c r="E57">
        <v>168596552</v>
      </c>
      <c r="F57">
        <v>8662352</v>
      </c>
      <c r="G57">
        <v>60982952</v>
      </c>
      <c r="H57">
        <v>398826652</v>
      </c>
      <c r="I57">
        <v>6885052</v>
      </c>
      <c r="J57">
        <v>302986427</v>
      </c>
      <c r="K57">
        <v>800864803</v>
      </c>
    </row>
    <row r="58" spans="1:11" x14ac:dyDescent="0.25">
      <c r="A58">
        <v>56</v>
      </c>
      <c r="B58" t="str">
        <v>Chi phí phải trả</v>
      </c>
      <c r="C58">
        <v>10729314712</v>
      </c>
      <c r="D58">
        <v>63406571076</v>
      </c>
      <c r="E58">
        <v>62998576869</v>
      </c>
      <c r="F58">
        <v>93014814253</v>
      </c>
      <c r="G58">
        <v>113892022048</v>
      </c>
      <c r="H58">
        <v>98991141743</v>
      </c>
      <c r="I58">
        <v>80266400011</v>
      </c>
      <c r="J58">
        <v>97740561623</v>
      </c>
      <c r="K58">
        <v>58305774563</v>
      </c>
    </row>
    <row r="59" spans="1:11" x14ac:dyDescent="0.25">
      <c r="A59">
        <v>57</v>
      </c>
      <c r="B59" t="str">
        <v>Phải trả nội bộ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1:11" x14ac:dyDescent="0.25">
      <c r="A60">
        <v>58</v>
      </c>
      <c r="B60" t="str">
        <v>Nhận ký quỹ, ký cược ngắn hạn</v>
      </c>
      <c r="C60">
        <v>0</v>
      </c>
      <c r="D60">
        <v>0</v>
      </c>
      <c r="E60">
        <v>0</v>
      </c>
      <c r="F60">
        <v>0</v>
      </c>
      <c r="G60">
        <v>1255230000</v>
      </c>
      <c r="H60">
        <v>1231190000</v>
      </c>
      <c r="I60">
        <v>1508975000</v>
      </c>
      <c r="J60">
        <v>1214760000</v>
      </c>
      <c r="K60">
        <v>336491400</v>
      </c>
    </row>
    <row r="61" spans="1:11" x14ac:dyDescent="0.25">
      <c r="A61">
        <v>59</v>
      </c>
      <c r="B61" t="str">
        <v>Phải trả theo tiến độ kế hoạch hợp đồng xây dựng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1:11" x14ac:dyDescent="0.25">
      <c r="A62">
        <v>60</v>
      </c>
      <c r="B62" t="str">
        <v>Phải trả hoạt động giao dịch chứng khoán</v>
      </c>
      <c r="C62">
        <v>1097851004560</v>
      </c>
      <c r="D62">
        <v>308942165126</v>
      </c>
      <c r="E62">
        <v>39617787653</v>
      </c>
      <c r="F62">
        <v>0</v>
      </c>
      <c r="G62">
        <v>20890746200</v>
      </c>
      <c r="H62">
        <v>30254764400</v>
      </c>
      <c r="I62">
        <v>217446795784</v>
      </c>
      <c r="J62">
        <v>180055643711</v>
      </c>
      <c r="K62">
        <v>49171694783</v>
      </c>
    </row>
    <row r="63" spans="1:11" x14ac:dyDescent="0.25">
      <c r="A63">
        <v>61</v>
      </c>
      <c r="B63" t="str">
        <v>Phải trả về lỗi giao dịch các tài sản tài chính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 x14ac:dyDescent="0.25">
      <c r="A64">
        <v>62</v>
      </c>
      <c r="B64" t="str">
        <v>Phải trả hộ cổ tức, gốc và lãi trái phiếu</v>
      </c>
      <c r="C64">
        <v>9609207880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 x14ac:dyDescent="0.25">
      <c r="A65">
        <v>63</v>
      </c>
      <c r="B65" t="str">
        <v>Phải trả tổ chức phát hành chứng khoán</v>
      </c>
      <c r="C65">
        <v>1884039160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1:11" x14ac:dyDescent="0.25">
      <c r="A66">
        <v>64</v>
      </c>
      <c r="B66" t="str">
        <v>Các khoản phải trả, phải nộp ngắn hạn khác</v>
      </c>
      <c r="C66">
        <v>253580217204</v>
      </c>
      <c r="D66">
        <v>194911136262</v>
      </c>
      <c r="E66">
        <v>300115900808</v>
      </c>
      <c r="F66">
        <v>188798899963</v>
      </c>
      <c r="G66">
        <v>1490328981368</v>
      </c>
      <c r="H66">
        <v>343356873373</v>
      </c>
      <c r="I66">
        <v>622409550039</v>
      </c>
      <c r="J66">
        <v>4312036356149</v>
      </c>
      <c r="K66">
        <v>913074286244</v>
      </c>
    </row>
    <row r="67" spans="1:11" x14ac:dyDescent="0.25">
      <c r="A67">
        <v>65</v>
      </c>
      <c r="B67" t="str">
        <v>Quỹ khen thưởng, phúc lợi</v>
      </c>
      <c r="C67">
        <v>104908953518</v>
      </c>
      <c r="D67">
        <v>115933406563</v>
      </c>
      <c r="E67">
        <v>151518138911</v>
      </c>
      <c r="F67">
        <v>184928862060</v>
      </c>
      <c r="G67">
        <v>216092297225</v>
      </c>
      <c r="H67">
        <v>262959645748</v>
      </c>
      <c r="I67">
        <v>228627534764</v>
      </c>
      <c r="J67">
        <v>245941487116</v>
      </c>
      <c r="K67">
        <v>321896915596</v>
      </c>
    </row>
    <row r="68" spans="1:11" x14ac:dyDescent="0.25">
      <c r="A68">
        <v>66</v>
      </c>
      <c r="B68" t="str">
        <v>Doanh thu chưa thực hiện ngắn hạn</v>
      </c>
      <c r="C68">
        <v>0</v>
      </c>
      <c r="D68">
        <v>0</v>
      </c>
      <c r="E68">
        <v>244986666</v>
      </c>
      <c r="F68">
        <v>0</v>
      </c>
      <c r="G68">
        <v>0</v>
      </c>
      <c r="H68">
        <v>335220000</v>
      </c>
      <c r="I68">
        <v>81615385</v>
      </c>
      <c r="J68">
        <v>1525471313</v>
      </c>
      <c r="K68">
        <v>129242424</v>
      </c>
    </row>
    <row r="69" spans="1:11" x14ac:dyDescent="0.25">
      <c r="A69">
        <v>67</v>
      </c>
      <c r="B69" t="str">
        <v>Quỹ bình ổn giá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 x14ac:dyDescent="0.25">
      <c r="A70">
        <v>68</v>
      </c>
      <c r="B70" t="str">
        <v>Dự phòng phải trả ngắn hạn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 x14ac:dyDescent="0.25">
      <c r="A71">
        <v>69</v>
      </c>
      <c r="B71" t="str">
        <v>Giao dịch mua bán lại trái phiếu chính phủ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 x14ac:dyDescent="0.25">
      <c r="A72">
        <v>70</v>
      </c>
      <c r="B72" t="str">
        <v>Nợ dài hạn</v>
      </c>
      <c r="C72">
        <v>27919055660</v>
      </c>
      <c r="D72">
        <v>723277107425</v>
      </c>
      <c r="E72">
        <v>233450638624</v>
      </c>
      <c r="F72">
        <v>793851043121</v>
      </c>
      <c r="G72">
        <v>1200551942614</v>
      </c>
      <c r="H72">
        <v>1233514584424</v>
      </c>
      <c r="I72">
        <v>73352418083</v>
      </c>
      <c r="J72">
        <v>93788995314</v>
      </c>
      <c r="K72">
        <v>53790162720</v>
      </c>
    </row>
    <row r="73" spans="1:11" x14ac:dyDescent="0.25">
      <c r="A73">
        <v>71</v>
      </c>
      <c r="B73" t="str">
        <v>Phải trả dài hạn người bán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 x14ac:dyDescent="0.25">
      <c r="A74">
        <v>72</v>
      </c>
      <c r="B74" t="str">
        <v>Người mua trả trước dài hạn</v>
      </c>
      <c r="C74">
        <v>0</v>
      </c>
      <c r="D74">
        <v>0</v>
      </c>
      <c r="E74">
        <v>0</v>
      </c>
      <c r="F74">
        <v>0</v>
      </c>
      <c r="G74">
        <v>2415081980</v>
      </c>
      <c r="H74">
        <v>0</v>
      </c>
      <c r="I74">
        <v>0</v>
      </c>
      <c r="J74">
        <v>0</v>
      </c>
      <c r="K74">
        <v>0</v>
      </c>
    </row>
    <row r="75" spans="1:11" x14ac:dyDescent="0.25">
      <c r="A75">
        <v>73</v>
      </c>
      <c r="B75" t="str">
        <v>Chi phí phải trả dài hạn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 x14ac:dyDescent="0.25">
      <c r="A76">
        <v>74</v>
      </c>
      <c r="B76" t="str">
        <v>Phải trả nội bộ về vốn kinh doanh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1:11" x14ac:dyDescent="0.25">
      <c r="A77">
        <v>75</v>
      </c>
      <c r="B77" t="str">
        <v>Nhận ký quỹ, ký cược dài hạn</v>
      </c>
      <c r="C77">
        <v>0</v>
      </c>
      <c r="D77">
        <v>453246599</v>
      </c>
      <c r="E77">
        <v>230577141</v>
      </c>
      <c r="F77">
        <v>0</v>
      </c>
      <c r="G77">
        <v>255695000</v>
      </c>
      <c r="H77">
        <v>0</v>
      </c>
      <c r="I77">
        <v>0</v>
      </c>
      <c r="J77">
        <v>0</v>
      </c>
      <c r="K77">
        <v>0</v>
      </c>
    </row>
    <row r="78" spans="1:11" x14ac:dyDescent="0.25">
      <c r="A78">
        <v>76</v>
      </c>
      <c r="B78" t="str">
        <v>Phải trả dài hạn nội bộ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 x14ac:dyDescent="0.25">
      <c r="A79">
        <v>77</v>
      </c>
      <c r="B79" t="str">
        <v>Phải trả dài hạn khác</v>
      </c>
      <c r="C79">
        <v>559315985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1:11" x14ac:dyDescent="0.25">
      <c r="A80">
        <v>78</v>
      </c>
      <c r="B80" t="str">
        <v>Vay và nợ dài hạn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1:11" x14ac:dyDescent="0.25">
      <c r="A81">
        <v>79</v>
      </c>
      <c r="B81" t="str">
        <v xml:space="preserve">Vay tài sản tài chính dài hạn 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1:11" x14ac:dyDescent="0.25">
      <c r="A82">
        <v>80</v>
      </c>
      <c r="B82" t="str">
        <v>Trái phiếu chuyển đổi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1:11" x14ac:dyDescent="0.25">
      <c r="A83">
        <v>81</v>
      </c>
      <c r="B83" t="str">
        <v xml:space="preserve">Trái phiếu phát hành dài hạn </v>
      </c>
      <c r="C83">
        <v>0</v>
      </c>
      <c r="D83">
        <v>687500000000</v>
      </c>
      <c r="E83">
        <v>199651666665</v>
      </c>
      <c r="F83">
        <v>569300000000</v>
      </c>
      <c r="G83">
        <v>1068320391534</v>
      </c>
      <c r="H83">
        <v>1105937946170</v>
      </c>
      <c r="I83">
        <v>0</v>
      </c>
      <c r="J83">
        <v>0</v>
      </c>
      <c r="K83">
        <v>0</v>
      </c>
    </row>
    <row r="84" spans="1:11" x14ac:dyDescent="0.25">
      <c r="A84">
        <v>82</v>
      </c>
      <c r="B84" t="str">
        <v>Cổ phiếu ưu đãi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1:11" x14ac:dyDescent="0.25">
      <c r="A85">
        <v>83</v>
      </c>
      <c r="B85" t="str">
        <v>Thuế thu nhập hoãn lại phải trả</v>
      </c>
      <c r="C85">
        <v>27359739675</v>
      </c>
      <c r="D85">
        <v>1812751858</v>
      </c>
      <c r="E85">
        <v>57285850</v>
      </c>
      <c r="F85">
        <v>191039934153</v>
      </c>
      <c r="G85">
        <v>78373614743</v>
      </c>
      <c r="H85">
        <v>76389478897</v>
      </c>
      <c r="I85">
        <v>20365258726</v>
      </c>
      <c r="J85">
        <v>41001835957</v>
      </c>
      <c r="K85">
        <v>1203003363</v>
      </c>
    </row>
    <row r="86" spans="1:11" x14ac:dyDescent="0.25">
      <c r="A86">
        <v>84</v>
      </c>
      <c r="B86" t="str">
        <v>Dự phòng trợ cấp mất việc làm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1:11" x14ac:dyDescent="0.25">
      <c r="A87">
        <v>85</v>
      </c>
      <c r="B87" t="str">
        <v>Doanh thu chưa thực hiện dài hạn</v>
      </c>
      <c r="C87">
        <v>0</v>
      </c>
      <c r="D87">
        <v>33511108968</v>
      </c>
      <c r="E87">
        <v>33511108968</v>
      </c>
      <c r="F87">
        <v>33511108968</v>
      </c>
      <c r="G87">
        <v>51187159357</v>
      </c>
      <c r="H87">
        <v>51187159357</v>
      </c>
      <c r="I87">
        <v>52987159357</v>
      </c>
      <c r="J87">
        <v>52787159357</v>
      </c>
      <c r="K87">
        <v>52587159357</v>
      </c>
    </row>
    <row r="88" spans="1:11" x14ac:dyDescent="0.25">
      <c r="A88">
        <v>86</v>
      </c>
      <c r="B88" t="str">
        <v>Dự phòng phải trả dài hạn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1:11" x14ac:dyDescent="0.25">
      <c r="A89">
        <v>87</v>
      </c>
      <c r="B89" t="str">
        <v>Dự phòng bồi thường thiệt hại cho nhà đầu tư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1:11" x14ac:dyDescent="0.25">
      <c r="A90">
        <v>88</v>
      </c>
      <c r="B90" t="str">
        <v>Quỹ phát triển khoa học và công nghệ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1:11" x14ac:dyDescent="0.25">
      <c r="A91">
        <v>89</v>
      </c>
      <c r="B91" t="str">
        <v>Vốn chủ sở hữu</v>
      </c>
      <c r="C91">
        <v>5690950098941</v>
      </c>
      <c r="D91">
        <v>6727609014290</v>
      </c>
      <c r="E91">
        <v>7152567156682</v>
      </c>
      <c r="F91">
        <v>8616249695902</v>
      </c>
      <c r="G91">
        <v>9155664527633</v>
      </c>
      <c r="H91">
        <v>9401059780205</v>
      </c>
      <c r="I91">
        <v>9872797052319</v>
      </c>
      <c r="J91">
        <v>14220082730148</v>
      </c>
      <c r="K91">
        <v>22383881964660</v>
      </c>
    </row>
    <row r="92" spans="1:11" x14ac:dyDescent="0.25">
      <c r="A92">
        <v>90</v>
      </c>
      <c r="B92" t="str">
        <v>Vốn và các quỹ</v>
      </c>
      <c r="C92">
        <v>5690950098941</v>
      </c>
      <c r="D92">
        <v>6727609014290</v>
      </c>
      <c r="E92">
        <v>7152567156682</v>
      </c>
      <c r="F92">
        <v>8616249695902</v>
      </c>
      <c r="G92">
        <v>9155664527633</v>
      </c>
      <c r="H92">
        <v>9401059780205</v>
      </c>
      <c r="I92">
        <v>9872797052319</v>
      </c>
      <c r="J92">
        <v>14220082730148</v>
      </c>
      <c r="K92">
        <v>22383881964660</v>
      </c>
    </row>
    <row r="93" spans="1:11" x14ac:dyDescent="0.25">
      <c r="A93">
        <v>91</v>
      </c>
      <c r="B93" t="str">
        <v>Vốn góp</v>
      </c>
      <c r="C93">
        <v>3537949420000</v>
      </c>
      <c r="D93">
        <v>4800636840000</v>
      </c>
      <c r="E93">
        <v>4900636840000</v>
      </c>
      <c r="F93">
        <v>5000636840000</v>
      </c>
      <c r="G93">
        <v>5100636840000</v>
      </c>
      <c r="H93">
        <v>5100636840000</v>
      </c>
      <c r="I93">
        <v>6029456130000</v>
      </c>
      <c r="J93">
        <v>9847500220000</v>
      </c>
      <c r="K93">
        <v>14911301370000</v>
      </c>
    </row>
    <row r="94" spans="1:11" x14ac:dyDescent="0.25">
      <c r="A94">
        <v>92</v>
      </c>
      <c r="B94" t="str">
        <v>Chênh lệch đánh giá lại tài sản</v>
      </c>
      <c r="C94">
        <v>0</v>
      </c>
      <c r="D94">
        <v>-3123757542</v>
      </c>
      <c r="E94">
        <v>-2689490143</v>
      </c>
      <c r="F94">
        <v>637896244067</v>
      </c>
      <c r="G94">
        <v>277801019026</v>
      </c>
      <c r="H94">
        <v>259495169033</v>
      </c>
      <c r="I94">
        <v>-4722276606</v>
      </c>
      <c r="J94">
        <v>-3793033106</v>
      </c>
      <c r="K94">
        <v>-6286385840</v>
      </c>
    </row>
    <row r="95" spans="1:11" x14ac:dyDescent="0.25">
      <c r="A95">
        <v>93</v>
      </c>
      <c r="B95" t="str">
        <v>Chênh lệch tỷ giá hối đoái</v>
      </c>
      <c r="C95">
        <v>0</v>
      </c>
      <c r="D95">
        <v>31013180718</v>
      </c>
      <c r="E95">
        <v>34056420954</v>
      </c>
      <c r="F95">
        <v>33179513213</v>
      </c>
      <c r="G95">
        <v>41038039125</v>
      </c>
      <c r="H95">
        <v>40382194252</v>
      </c>
      <c r="I95">
        <v>39377296810</v>
      </c>
      <c r="J95">
        <v>33624236089</v>
      </c>
      <c r="K95">
        <v>44775287721</v>
      </c>
    </row>
    <row r="96" spans="1:11" x14ac:dyDescent="0.25">
      <c r="A96">
        <v>94</v>
      </c>
      <c r="B96" t="str">
        <v>Quỹ dự trự bổ sung vốn điều lệ</v>
      </c>
      <c r="C96">
        <v>0</v>
      </c>
      <c r="D96">
        <v>268076952217</v>
      </c>
      <c r="E96">
        <v>311560605893</v>
      </c>
      <c r="F96">
        <v>355412398796</v>
      </c>
      <c r="G96">
        <v>412057165307</v>
      </c>
      <c r="H96">
        <v>477303674335</v>
      </c>
      <c r="I96">
        <v>522187344649</v>
      </c>
      <c r="J96">
        <v>61252419507</v>
      </c>
      <c r="K96">
        <v>61252419507</v>
      </c>
    </row>
    <row r="97" spans="1:11" x14ac:dyDescent="0.25">
      <c r="A97">
        <v>95</v>
      </c>
      <c r="B97" t="str">
        <v>Quỹ đầu tư phát triển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1:11" x14ac:dyDescent="0.25">
      <c r="A98">
        <v>96</v>
      </c>
      <c r="B98" t="str">
        <v>Quỹ dự phòng tài chính</v>
      </c>
      <c r="C98">
        <v>372998887930</v>
      </c>
      <c r="D98">
        <v>183569357533</v>
      </c>
      <c r="E98">
        <v>227053011209</v>
      </c>
      <c r="F98">
        <v>270904804112</v>
      </c>
      <c r="G98">
        <v>327549570623</v>
      </c>
      <c r="H98">
        <v>392796079651</v>
      </c>
      <c r="I98">
        <v>437679749965</v>
      </c>
      <c r="J98">
        <v>495932169472</v>
      </c>
      <c r="K98">
        <v>0</v>
      </c>
    </row>
    <row r="99" spans="1:11" x14ac:dyDescent="0.25">
      <c r="A99">
        <v>97</v>
      </c>
      <c r="B99" t="str">
        <v>Quỹ khác thuộc vốn chủ sở hữu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1:11" x14ac:dyDescent="0.25">
      <c r="A100">
        <v>98</v>
      </c>
      <c r="B100" t="str">
        <v>Lợi nhuận sau thuế chưa phân phối</v>
      </c>
      <c r="C100">
        <v>1441990375228</v>
      </c>
      <c r="D100">
        <v>1341790215838</v>
      </c>
      <c r="E100">
        <v>1576075507357</v>
      </c>
      <c r="F100">
        <v>2212624960292</v>
      </c>
      <c r="G100">
        <v>2795105924401</v>
      </c>
      <c r="H100">
        <v>2941467041881</v>
      </c>
      <c r="I100">
        <v>2676816162826</v>
      </c>
      <c r="J100">
        <v>2927812985141</v>
      </c>
      <c r="K100">
        <v>3953892022051</v>
      </c>
    </row>
    <row r="101" spans="1:11" x14ac:dyDescent="0.25">
      <c r="A101">
        <v>99</v>
      </c>
      <c r="B101" t="str">
        <v>Lợi ích cổ đông không kiểm soát</v>
      </c>
      <c r="C101">
        <v>0</v>
      </c>
      <c r="D101">
        <v>81140362365</v>
      </c>
      <c r="E101">
        <v>79101184212</v>
      </c>
      <c r="F101">
        <v>78352794222</v>
      </c>
      <c r="G101">
        <v>66959856216</v>
      </c>
      <c r="H101">
        <v>64855407518</v>
      </c>
      <c r="I101">
        <v>63414755641</v>
      </c>
      <c r="J101">
        <v>62568512410</v>
      </c>
      <c r="K101">
        <v>138841784986</v>
      </c>
    </row>
    <row r="102" spans="1:11" x14ac:dyDescent="0.25">
      <c r="A102">
        <v>100</v>
      </c>
      <c r="B102" t="str">
        <v>Nguồn kinh phí và quỹ khác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 x14ac:dyDescent="0.25">
      <c r="A103">
        <v>101</v>
      </c>
      <c r="B103" t="str">
        <v>Vốn ngân sách nhà nước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1:11" x14ac:dyDescent="0.25">
      <c r="A104">
        <v>102</v>
      </c>
      <c r="B104" t="str">
        <v>Nguồn kinh phí đã hình thành TSCĐ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1:11" x14ac:dyDescent="0.25">
      <c r="A105">
        <v>103</v>
      </c>
      <c r="B105" t="str">
        <v>Quỹ khen thưởng, phúc lợi (trước 2010)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 x14ac:dyDescent="0.25">
      <c r="A106">
        <v>104</v>
      </c>
      <c r="B106" t="str">
        <v>Lợi ích của cổ đông không kiểm soát (trước 2015)</v>
      </c>
      <c r="C106">
        <v>82855645584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 x14ac:dyDescent="0.25">
      <c r="A107">
        <v>105</v>
      </c>
      <c r="B107" t="str">
        <v>LỢI  NHUẬN ĐÃ PHÂN PHỐI CHO NHÀ ĐẦU TƯ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 x14ac:dyDescent="0.25">
      <c r="A108">
        <v>106</v>
      </c>
      <c r="B108" t="str">
        <v>Lợi nhuận đã phân phối cho Nhà đầu tư trong năm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D7E65-03E5-434F-AFAB-7B83F4ACE950}">
  <sheetPr codeName="Sheet18"/>
  <dimension ref="N4"/>
  <sheetViews>
    <sheetView workbookViewId="0">
      <selection activeCell="C13" sqref="C13"/>
    </sheetView>
  </sheetViews>
  <sheetFormatPr defaultRowHeight="15.75" x14ac:dyDescent="0.25"/>
  <sheetData>
    <row r="4" spans="14:14" x14ac:dyDescent="0.25">
      <c r="N4" s="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Hướng dẫn</vt:lpstr>
      <vt:lpstr>BCTC_VND</vt:lpstr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Nguyen Binh</cp:lastModifiedBy>
  <dcterms:created xsi:type="dcterms:W3CDTF">2015-01-25T11:31:25Z</dcterms:created>
  <dcterms:modified xsi:type="dcterms:W3CDTF">2023-09-07T13:04:41Z</dcterms:modified>
</cp:coreProperties>
</file>