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a1bdd6bc00f8cbf1/function/file xlsm và function/"/>
    </mc:Choice>
  </mc:AlternateContent>
  <xr:revisionPtr revIDLastSave="5718" documentId="13_ncr:1_{9CF53BA4-0C5B-4598-92DD-328F9068636F}" xr6:coauthVersionLast="47" xr6:coauthVersionMax="47" xr10:uidLastSave="{4CE3BC54-C1CC-4F5C-90C5-19D1D289F2AF}"/>
  <bookViews>
    <workbookView xWindow="-20610" yWindow="-120" windowWidth="20730" windowHeight="11160" tabRatio="568" xr2:uid="{00000000-000D-0000-FFFF-FFFF00000000}"/>
  </bookViews>
  <sheets>
    <sheet name="Hướng dẫn" sheetId="25" r:id="rId1"/>
    <sheet name="BCTC_VND" sheetId="22" r:id="rId2"/>
    <sheet name="Sheet1" sheetId="26" r:id="rId3"/>
    <sheet name="_xlwings.conf" sheetId="2" state="hidden" r:id="rId4"/>
  </sheets>
  <functionGroups builtInGroupCount="19">
    <functionGroup name="xlwings"/>
  </functionGroups>
  <externalReferences>
    <externalReference r:id="rId5"/>
  </externalReferences>
  <definedNames>
    <definedName name="_xlcn.WorksheetConnection_BanggiaCPB1G311" hidden="1">'[1]Bang gia CP'!$B$1:$G$31</definedName>
    <definedName name="_xlcn.WorksheetConnection_BanggiaCPEG1" hidden="1">'[1]Bang gia CP'!$E:$G</definedName>
  </definedNames>
  <calcPr calcId="191028" concurrentCalc="0"/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ical_v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khoi_ngoa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noi_b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" name="Range" connection="WorksheetConnection_Bang gia CP!$B$1:$G$31"/>
          <x15:modelTable id="Range 1" name="Range 1" connection="WorksheetConnection_Bang gia CP!$E:$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26" l="1" a="1"/>
  <c r="A1" i="26"/>
  <c r="A1" i="22" a="1"/>
  <c r="A1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<sst xmlns="http://schemas.openxmlformats.org/spreadsheetml/2006/main" count="109" uniqueCount="108">
  <si>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</si>
  <si>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</si>
  <si>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</si>
  <si>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</si>
  <si>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</si>
  <si>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</si>
  <si>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</si>
  <si>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</si>
  <si>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</si>
  <si>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</si>
  <si>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</si>
  <si>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</si>
  <si>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</si>
  <si>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</si>
  <si>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</si>
  <si>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</si>
  <si>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</si>
  <si>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</si>
  <si>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</si>
  <si>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P&amp;L</t>
  </si>
  <si>
    <t>CF</t>
  </si>
  <si>
    <t>YEAR</t>
  </si>
  <si>
    <t>QUARTER</t>
  </si>
  <si>
    <t>Sử dụng tương tự như hàm  report_finance_vnd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</si>
  <si>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</si>
  <si>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</si>
  <si>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</si>
  <si>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</si>
  <si>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</si>
  <si>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</si>
  <si>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</si>
  <si>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</si>
  <si>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</si>
  <si>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</si>
  <si>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</si>
  <si>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</si>
  <si>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</si>
  <si>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</si>
  <si>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</si>
  <si>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</si>
  <si>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</si>
  <si>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</si>
  <si>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</si>
  <si>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</si>
  <si>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</si>
  <si>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</si>
  <si>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</si>
  <si>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</si>
  <si>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</si>
  <si>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</si>
  <si>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Danh Sách Các Hàm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</si>
  <si>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</si>
  <si>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</si>
  <si>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</si>
  <si>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</si>
  <si>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</si>
  <si>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</si>
  <si>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</si>
  <si>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</si>
  <si>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</si>
  <si>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</si>
  <si>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</si>
  <si>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</si>
  <si>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</si>
  <si>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</si>
  <si>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</si>
  <si>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</si>
  <si>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</si>
  <si>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</si>
  <si>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</si>
  <si>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</si>
  <si>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</si>
  <si>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</si>
  <si>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</si>
  <si>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</si>
  <si>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</si>
  <si>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</si>
  <si>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</si>
  <si>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</si>
  <si>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</si>
  <si>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</si>
  <si>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</si>
  <si>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</si>
  <si>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</si>
  <si>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</si>
  <si>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Calibri"/>
        <family val="2"/>
        <scheme val="minor"/>
      </rPr>
      <t>symbol:</t>
    </r>
    <r>
      <rPr>
        <sz val="12"/>
        <color theme="1"/>
        <rFont val="Calibri"/>
        <family val="2"/>
        <scheme val="minor"/>
      </rPr>
      <t xml:space="preserve"> là ký hiệu mã cổ phiếu</t>
    </r>
  </si>
  <si>
    <r>
      <rPr>
        <b/>
        <sz val="12"/>
        <color theme="1"/>
        <rFont val="Calibri"/>
        <family val="2"/>
        <scheme val="minor"/>
      </rPr>
      <t>fromdate:</t>
    </r>
    <r>
      <rPr>
        <sz val="12"/>
        <color theme="1"/>
        <rFont val="Calibri"/>
        <family val="2"/>
        <scheme val="minor"/>
      </rPr>
      <t xml:space="preserve"> là ngày bắt đầu</t>
    </r>
  </si>
  <si>
    <r>
      <rPr>
        <b/>
        <sz val="12"/>
        <color theme="1"/>
        <rFont val="Calibri"/>
        <family val="2"/>
        <scheme val="minor"/>
      </rPr>
      <t>todate:</t>
    </r>
    <r>
      <rPr>
        <sz val="12"/>
        <color theme="1"/>
        <rFont val="Calibri"/>
        <family val="2"/>
        <scheme val="minor"/>
      </rPr>
      <t xml:space="preserve"> là ngày kết thúc</t>
    </r>
  </si>
  <si>
    <r>
      <rPr>
        <b/>
        <sz val="12"/>
        <color theme="1"/>
        <rFont val="Calibri"/>
        <family val="2"/>
        <scheme val="minor"/>
      </rPr>
      <t>fromyear:</t>
    </r>
    <r>
      <rPr>
        <sz val="12"/>
        <color theme="1"/>
        <rFont val="Calibri"/>
        <family val="2"/>
        <scheme val="minor"/>
      </rPr>
      <t xml:space="preserve"> là năm bắt đầu</t>
    </r>
  </si>
  <si>
    <r>
      <rPr>
        <b/>
        <sz val="12"/>
        <color theme="1"/>
        <rFont val="Calibri"/>
        <family val="2"/>
        <scheme val="minor"/>
      </rPr>
      <t>toyear</t>
    </r>
    <r>
      <rPr>
        <sz val="12"/>
        <color theme="1"/>
        <rFont val="Calibri"/>
        <family val="2"/>
        <scheme val="minor"/>
      </rPr>
      <t>: là năm kết thúc</t>
    </r>
  </si>
  <si>
    <r>
      <rPr>
        <b/>
        <sz val="12"/>
        <color theme="1"/>
        <rFont val="Calibri"/>
        <family val="2"/>
        <scheme val="minor"/>
      </rPr>
      <t>fromQ:</t>
    </r>
    <r>
      <rPr>
        <sz val="12"/>
        <color theme="1"/>
        <rFont val="Calibri"/>
        <family val="2"/>
        <scheme val="minor"/>
      </rPr>
      <t xml:space="preserve"> là quý bắt đầu</t>
    </r>
  </si>
  <si>
    <r>
      <rPr>
        <b/>
        <sz val="12"/>
        <color theme="1"/>
        <rFont val="Calibri"/>
        <family val="2"/>
        <scheme val="minor"/>
      </rPr>
      <t>toQ:</t>
    </r>
    <r>
      <rPr>
        <sz val="12"/>
        <color theme="1"/>
        <rFont val="Calibri"/>
        <family val="2"/>
        <scheme val="minor"/>
      </rPr>
      <t xml:space="preserve"> là quý kết thúc</t>
    </r>
  </si>
  <si>
    <r>
      <rPr>
        <b/>
        <sz val="12"/>
        <color theme="1"/>
        <rFont val="Calibri"/>
        <family val="2"/>
        <scheme val="minor"/>
      </rPr>
      <t>Cân đối kế toán:</t>
    </r>
    <r>
      <rPr>
        <sz val="12"/>
        <color theme="1"/>
        <rFont val="Calibri"/>
        <family val="2"/>
        <scheme val="minor"/>
      </rPr>
      <t xml:space="preserve"> BS - CDKT -BALANCESHEET</t>
    </r>
  </si>
  <si>
    <r>
      <rPr>
        <b/>
        <sz val="12"/>
        <color theme="1"/>
        <rFont val="Calibri"/>
        <family val="2"/>
        <scheme val="minor"/>
      </rPr>
      <t>report:</t>
    </r>
    <r>
      <rPr>
        <sz val="12"/>
        <color theme="1"/>
        <rFont val="Calibri"/>
        <family val="2"/>
        <scheme val="minor"/>
      </rPr>
      <t xml:space="preserve"> là loại báo cáo.</t>
    </r>
  </si>
  <si>
    <r>
      <rPr>
        <b/>
        <sz val="12"/>
        <color theme="1"/>
        <rFont val="Calibri"/>
        <family val="2"/>
        <scheme val="minor"/>
      </rPr>
      <t>year:</t>
    </r>
    <r>
      <rPr>
        <sz val="12"/>
        <color theme="1"/>
        <rFont val="Calibri"/>
        <family val="2"/>
        <scheme val="minor"/>
      </rPr>
      <t xml:space="preserve"> là năm tài chính cần lấy</t>
    </r>
  </si>
  <si>
    <r>
      <rPr>
        <b/>
        <sz val="12"/>
        <color theme="1"/>
        <rFont val="Calibri"/>
        <family val="2"/>
        <scheme val="minor"/>
      </rPr>
      <t>timely:</t>
    </r>
    <r>
      <rPr>
        <sz val="12"/>
        <color theme="1"/>
        <rFont val="Calibri"/>
        <family val="2"/>
        <scheme val="minor"/>
      </rPr>
      <t xml:space="preserve"> là loại thời gian năm hoặc quý</t>
    </r>
  </si>
  <si>
    <r>
      <rPr>
        <b/>
        <sz val="12"/>
        <color theme="1"/>
        <rFont val="Calibri"/>
        <family val="2"/>
        <scheme val="minor"/>
      </rPr>
      <t xml:space="preserve">Kết quả kinh doanh: </t>
    </r>
    <r>
      <rPr>
        <sz val="12"/>
        <color theme="1"/>
        <rFont val="Calibri"/>
        <family val="2"/>
        <scheme val="minor"/>
      </rPr>
      <t>P&amp;L - KQKD</t>
    </r>
  </si>
  <si>
    <r>
      <rPr>
        <b/>
        <sz val="12"/>
        <color theme="1"/>
        <rFont val="Calibri"/>
        <family val="2"/>
        <scheme val="minor"/>
      </rPr>
      <t>Lưu chuyển tiền tệ:</t>
    </r>
    <r>
      <rPr>
        <sz val="12"/>
        <color theme="1"/>
        <rFont val="Calibri"/>
        <family val="2"/>
        <scheme val="minor"/>
      </rPr>
      <t xml:space="preserve"> CFD - LCTT</t>
    </r>
  </si>
  <si>
    <r>
      <rPr>
        <b/>
        <sz val="12"/>
        <color theme="1"/>
        <rFont val="Calibri"/>
        <family val="2"/>
        <scheme val="minor"/>
      </rPr>
      <t xml:space="preserve">Năm: </t>
    </r>
    <r>
      <rPr>
        <sz val="12"/>
        <color theme="1"/>
        <rFont val="Calibri"/>
        <family val="2"/>
        <scheme val="minor"/>
      </rPr>
      <t>YEAR - NAM</t>
    </r>
  </si>
  <si>
    <r>
      <rPr>
        <b/>
        <sz val="12"/>
        <color theme="1"/>
        <rFont val="Calibri"/>
        <family val="2"/>
        <scheme val="minor"/>
      </rPr>
      <t xml:space="preserve">Quý: </t>
    </r>
    <r>
      <rPr>
        <sz val="12"/>
        <color theme="1"/>
        <rFont val="Calibri"/>
        <family val="2"/>
        <scheme val="minor"/>
      </rPr>
      <t>QUARTER - QUY</t>
    </r>
  </si>
  <si>
    <t>Để hoạt động hiệu quả cần khai báo biến vào ô giá trị trước, rồi sử dụng hàm.</t>
  </si>
  <si>
    <t>TCM</t>
  </si>
  <si>
    <t>NKG</t>
  </si>
  <si>
    <t>BS</t>
  </si>
  <si>
    <t>1a5CJ5Pm6Fy4msoIz_3V4AYjlDiAyZ-QY</t>
  </si>
  <si>
    <t>Hàm lấy lịch sử giá cổ phiếu từ vndirect</t>
  </si>
  <si>
    <t>get_price_historical_vnd(symbol,fromdate,todate)</t>
  </si>
  <si>
    <t>ví dụ: =get_price_historical_vnd(ACB,20/08/2023,30/08/2023)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</si>
</sst>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/>
    <xf numFmtId="0" fontId="2" fillId="0" borderId="10" xfId="0" applyFont="1" applyBorder="1"/>
    <xf numFmtId="14" fontId="0" fillId="0" borderId="0" xfId="0" applyNumberFormat="1"/>
    <xf numFmtId="0" fontId="1" fillId="0" borderId="0" xfId="0" applyFont="1"/>
    <xf numFmtId="3" fontId="1" fillId="2" borderId="0" xfId="0" applyNumberFormat="1" applyFont="1" applyFill="1"/>
    <xf numFmtId="3" fontId="0" fillId="0" borderId="0" xfId="0" applyNumberFormat="1"/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F40"/>
  <sheetViews>
    <sheetView tabSelected="1" workbookViewId="0">
      <selection activeCell="B8" sqref="B8"/>
    </sheetView>
  </sheetViews>
  <sheetFormatPr defaultRowHeight="15.75" x14ac:dyDescent="0.25"/>
  <cols>
    <col min="1" max="1" width="61.625" customWidth="1"/>
    <col min="2" max="2" width="59.5" customWidth="1"/>
    <col min="3" max="3" width="8.875" customWidth="1"/>
    <col min="6" max="6" width="10.75" customWidth="1"/>
  </cols>
  <sheetData>
    <row r="1" spans="1:6" x14ac:dyDescent="0.25">
      <c r="A1" s="28" t="s">
        <v>50</v>
      </c>
      <c r="B1" s="28"/>
      <c r="C1" s="29" t="s">
        <v>81</v>
      </c>
      <c r="D1" s="30"/>
      <c r="E1" s="30"/>
      <c r="F1" s="31"/>
    </row>
    <row r="2" spans="1:6" x14ac:dyDescent="0.25">
      <c r="A2" s="4" t="s">
        <v>78</v>
      </c>
      <c r="B2" s="4" t="s">
        <v>105</v>
      </c>
      <c r="C2" s="32" t="s">
        <v>85</v>
      </c>
      <c r="D2" s="33"/>
      <c r="E2" s="33"/>
      <c r="F2" s="34"/>
    </row>
    <row r="3" spans="1:6" x14ac:dyDescent="0.25">
      <c r="A3" s="6" t="s">
        <v>79</v>
      </c>
      <c r="B3" s="6" t="s">
        <v>106</v>
      </c>
      <c r="C3" s="25" t="s">
        <v>86</v>
      </c>
      <c r="D3" s="26"/>
      <c r="E3" s="26"/>
      <c r="F3" s="27"/>
    </row>
    <row r="4" spans="1:6" x14ac:dyDescent="0.25">
      <c r="A4" s="7" t="s">
        <v>80</v>
      </c>
      <c r="B4" s="7" t="s">
        <v>107</v>
      </c>
      <c r="C4" s="25" t="s">
        <v>87</v>
      </c>
      <c r="D4" s="26"/>
      <c r="E4" s="26"/>
      <c r="F4" s="27"/>
    </row>
    <row r="5" spans="1:6" x14ac:dyDescent="0.25">
      <c r="A5" s="4" t="s">
        <v>54</v>
      </c>
      <c r="B5" s="4" t="s">
        <v>30</v>
      </c>
      <c r="C5" s="25" t="s">
        <v>88</v>
      </c>
      <c r="D5" s="26"/>
      <c r="E5" s="26"/>
      <c r="F5" s="27"/>
    </row>
    <row r="6" spans="1:6" x14ac:dyDescent="0.25">
      <c r="A6" s="6" t="s">
        <v>49</v>
      </c>
      <c r="B6" s="6" t="s">
        <v>31</v>
      </c>
      <c r="C6" s="25" t="s">
        <v>89</v>
      </c>
      <c r="D6" s="26"/>
      <c r="E6" s="26"/>
      <c r="F6" s="27"/>
    </row>
    <row r="7" spans="1:6" x14ac:dyDescent="0.25">
      <c r="A7" s="7" t="s">
        <v>61</v>
      </c>
      <c r="B7" s="7" t="s">
        <v>62</v>
      </c>
      <c r="C7" s="25" t="s">
        <v>90</v>
      </c>
      <c r="D7" s="26"/>
      <c r="E7" s="26"/>
      <c r="F7" s="27"/>
    </row>
    <row r="8" spans="1:6" x14ac:dyDescent="0.25">
      <c r="A8" s="4" t="s">
        <v>56</v>
      </c>
      <c r="B8" s="4" t="s">
        <v>52</v>
      </c>
      <c r="C8" s="35" t="s">
        <v>91</v>
      </c>
      <c r="D8" s="36"/>
      <c r="E8" s="36"/>
      <c r="F8" s="37"/>
    </row>
    <row r="9" spans="1:6" x14ac:dyDescent="0.25">
      <c r="A9" s="6" t="s">
        <v>33</v>
      </c>
      <c r="B9" s="6" t="s">
        <v>53</v>
      </c>
      <c r="C9" s="29" t="s">
        <v>82</v>
      </c>
      <c r="D9" s="30"/>
      <c r="E9" s="30"/>
      <c r="F9" s="31"/>
    </row>
    <row r="10" spans="1:6" x14ac:dyDescent="0.25">
      <c r="A10" s="7" t="s">
        <v>60</v>
      </c>
      <c r="B10" s="7" t="s">
        <v>63</v>
      </c>
      <c r="C10" s="8" t="s">
        <v>85</v>
      </c>
      <c r="D10" s="9"/>
      <c r="E10" s="9"/>
      <c r="F10" s="11"/>
    </row>
    <row r="11" spans="1:6" x14ac:dyDescent="0.25">
      <c r="A11" s="4" t="s">
        <v>55</v>
      </c>
      <c r="B11" s="4" t="s">
        <v>51</v>
      </c>
      <c r="C11" s="10" t="s">
        <v>93</v>
      </c>
      <c r="D11" s="12"/>
      <c r="E11" s="12"/>
      <c r="F11" s="13"/>
    </row>
    <row r="12" spans="1:6" x14ac:dyDescent="0.25">
      <c r="A12" s="6" t="s">
        <v>34</v>
      </c>
      <c r="B12" s="6" t="s">
        <v>32</v>
      </c>
      <c r="C12" s="10" t="s">
        <v>94</v>
      </c>
      <c r="D12" s="12"/>
      <c r="E12" s="12"/>
      <c r="F12" s="13"/>
    </row>
    <row r="13" spans="1:6" x14ac:dyDescent="0.25">
      <c r="A13" s="7" t="s">
        <v>23</v>
      </c>
      <c r="B13" s="7" t="s">
        <v>64</v>
      </c>
      <c r="C13" s="10" t="s">
        <v>95</v>
      </c>
      <c r="D13" s="12"/>
      <c r="E13" s="12"/>
      <c r="F13" s="13"/>
    </row>
    <row r="14" spans="1:6" x14ac:dyDescent="0.25">
      <c r="A14" s="4" t="s">
        <v>72</v>
      </c>
      <c r="B14" s="4" t="s">
        <v>35</v>
      </c>
      <c r="C14" s="14" t="s">
        <v>83</v>
      </c>
      <c r="D14" s="15"/>
      <c r="E14" s="15"/>
      <c r="F14" s="16"/>
    </row>
    <row r="15" spans="1:6" x14ac:dyDescent="0.25">
      <c r="A15" s="6" t="s">
        <v>73</v>
      </c>
      <c r="B15" s="6" t="s">
        <v>36</v>
      </c>
      <c r="C15" s="10" t="s">
        <v>92</v>
      </c>
      <c r="D15" s="12"/>
      <c r="E15" s="12"/>
      <c r="F15" s="13"/>
    </row>
    <row r="16" spans="1:6" x14ac:dyDescent="0.25">
      <c r="A16" s="7" t="s">
        <v>74</v>
      </c>
      <c r="B16" s="7" t="s">
        <v>65</v>
      </c>
      <c r="C16" s="10" t="s">
        <v>96</v>
      </c>
      <c r="D16" s="12"/>
      <c r="E16" s="12"/>
      <c r="F16" s="13"/>
    </row>
    <row r="17" spans="1:6" x14ac:dyDescent="0.25">
      <c r="A17" s="4" t="s">
        <v>76</v>
      </c>
      <c r="B17" s="4" t="s">
        <v>37</v>
      </c>
      <c r="C17" s="10" t="s">
        <v>97</v>
      </c>
      <c r="D17" s="12"/>
      <c r="E17" s="12"/>
      <c r="F17" s="13"/>
    </row>
    <row r="18" spans="1:6" x14ac:dyDescent="0.25">
      <c r="A18" s="6" t="s">
        <v>75</v>
      </c>
      <c r="B18" s="6" t="s">
        <v>38</v>
      </c>
      <c r="C18" s="14" t="s">
        <v>84</v>
      </c>
      <c r="D18" s="15"/>
      <c r="E18" s="15"/>
      <c r="F18" s="16"/>
    </row>
    <row r="19" spans="1:6" x14ac:dyDescent="0.25">
      <c r="A19" s="7" t="s">
        <v>77</v>
      </c>
      <c r="B19" s="7" t="s">
        <v>66</v>
      </c>
      <c r="C19" s="10" t="s">
        <v>98</v>
      </c>
      <c r="D19" s="12"/>
      <c r="E19" s="12"/>
      <c r="F19" s="13"/>
    </row>
    <row r="20" spans="1:6" x14ac:dyDescent="0.25">
      <c r="A20" s="4" t="s">
        <v>24</v>
      </c>
      <c r="B20" s="4" t="s">
        <v>39</v>
      </c>
      <c r="C20" s="35" t="s">
        <v>99</v>
      </c>
      <c r="D20" s="36"/>
      <c r="E20" s="36"/>
      <c r="F20" s="37"/>
    </row>
    <row r="21" spans="1:6" x14ac:dyDescent="0.25">
      <c r="A21" s="6" t="s">
        <v>29</v>
      </c>
      <c r="B21" s="6" t="s">
        <v>42</v>
      </c>
      <c r="C21" s="38" t="s">
        <v>100</v>
      </c>
      <c r="D21" s="39"/>
      <c r="E21" s="39"/>
      <c r="F21" s="39"/>
    </row>
    <row r="22" spans="1:6" x14ac:dyDescent="0.25">
      <c r="A22" s="7" t="s">
        <v>57</v>
      </c>
      <c r="B22" s="7" t="s">
        <v>67</v>
      </c>
      <c r="C22" s="40"/>
      <c r="D22" s="41"/>
      <c r="E22" s="41"/>
      <c r="F22" s="41"/>
    </row>
    <row r="23" spans="1:6" x14ac:dyDescent="0.25">
      <c r="A23" s="4" t="s">
        <v>27</v>
      </c>
      <c r="B23" s="4" t="s">
        <v>40</v>
      </c>
      <c r="C23" s="18"/>
      <c r="D23" s="19"/>
      <c r="E23" s="19"/>
      <c r="F23" s="19"/>
    </row>
    <row r="24" spans="1:6" x14ac:dyDescent="0.25">
      <c r="A24" s="6" t="s">
        <v>28</v>
      </c>
      <c r="B24" s="6" t="s">
        <v>41</v>
      </c>
      <c r="C24" s="20"/>
      <c r="D24" s="19"/>
      <c r="E24" s="19"/>
      <c r="F24" s="19"/>
    </row>
    <row r="25" spans="1:6" x14ac:dyDescent="0.25">
      <c r="A25" s="6" t="s">
        <v>58</v>
      </c>
      <c r="B25" s="6" t="s">
        <v>68</v>
      </c>
    </row>
    <row r="26" spans="1:6" x14ac:dyDescent="0.25">
      <c r="A26" s="4" t="s">
        <v>43</v>
      </c>
      <c r="B26" s="4" t="s">
        <v>45</v>
      </c>
    </row>
    <row r="27" spans="1:6" x14ac:dyDescent="0.25">
      <c r="A27" s="6" t="s">
        <v>44</v>
      </c>
      <c r="B27" s="6" t="s">
        <v>46</v>
      </c>
    </row>
    <row r="28" spans="1:6" x14ac:dyDescent="0.25">
      <c r="A28" s="7" t="s">
        <v>69</v>
      </c>
      <c r="B28" s="7" t="s">
        <v>70</v>
      </c>
      <c r="C28" s="17"/>
    </row>
    <row r="29" spans="1:6" x14ac:dyDescent="0.25">
      <c r="A29" s="4" t="s">
        <v>47</v>
      </c>
      <c r="B29" s="4" t="s">
        <v>26</v>
      </c>
    </row>
    <row r="30" spans="1:6" x14ac:dyDescent="0.25">
      <c r="A30" s="6" t="s">
        <v>48</v>
      </c>
      <c r="B30" s="6" t="s">
        <v>25</v>
      </c>
    </row>
    <row r="31" spans="1:6" x14ac:dyDescent="0.25">
      <c r="A31" s="7" t="s">
        <v>71</v>
      </c>
      <c r="B31" s="7" t="s">
        <v>59</v>
      </c>
    </row>
    <row r="39" ht="16.5" customHeight="1" x14ac:dyDescent="0.25"/>
    <row r="40" ht="16.5" customHeight="1" x14ac:dyDescent="0.25"/>
  </sheetData>
  <mergeCells count="12">
    <mergeCell ref="C20:F20"/>
    <mergeCell ref="C9:F9"/>
    <mergeCell ref="C21:F22"/>
    <mergeCell ref="C7:F7"/>
    <mergeCell ref="C8:F8"/>
    <mergeCell ref="C5:F5"/>
    <mergeCell ref="C6:F6"/>
    <mergeCell ref="A1:B1"/>
    <mergeCell ref="C1:F1"/>
    <mergeCell ref="C3:F3"/>
    <mergeCell ref="C4:F4"/>
    <mergeCell ref="C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M114"/>
  <sheetViews>
    <sheetView zoomScaleNormal="100" workbookViewId="0"/>
  </sheetViews>
  <sheetFormatPr defaultRowHeight="15.75" x14ac:dyDescent="0.25"/>
  <cols>
    <col min="1" max="1" width="4" customWidth="1"/>
    <col min="2" max="2" width="44.125" customWidth="1"/>
    <col min="3" max="7" width="17.625" style="24" customWidth="1"/>
    <col min="8" max="11" width="12.625" customWidth="1"/>
    <col min="14" max="14" width="9.25" customWidth="1"/>
    <col min="15" max="15" width="12.125" customWidth="1"/>
  </cols>
  <sheetData>
    <row r="1" spans="1:13" s="22" customFormat="1" x14ac:dyDescent="0.25">
      <c r="A1" s="5" t="str" cm="1">
        <f t="array" ref="A1:H114">report_finance_vnd(J2,K2,L2,M3)</f>
        <v/>
      </c>
      <c r="B1" s="5" t="str">
        <v>itemVnName</v>
      </c>
      <c r="C1" s="23" t="str">
        <v>2022-03-31</v>
      </c>
      <c r="D1" s="23" t="str">
        <v>2022-06-30</v>
      </c>
      <c r="E1" s="23" t="str">
        <v>2022-09-30</v>
      </c>
      <c r="F1" s="23" t="str">
        <v>2022-12-31</v>
      </c>
      <c r="G1" s="23" t="str">
        <v>2023-03-31</v>
      </c>
      <c r="H1" s="5" t="str">
        <v>2023-06-30</v>
      </c>
      <c r="J1" s="4" t="s">
        <v>16</v>
      </c>
      <c r="K1" s="4" t="s">
        <v>15</v>
      </c>
      <c r="L1" s="4" t="s">
        <v>17</v>
      </c>
      <c r="M1" s="4" t="s">
        <v>18</v>
      </c>
    </row>
    <row r="2" spans="1:13" x14ac:dyDescent="0.25">
      <c r="A2">
        <v>0</v>
      </c>
      <c r="B2" t="str">
        <v>Tài sản ngắn hạn</v>
      </c>
      <c r="C2" s="24">
        <v>13217066679954</v>
      </c>
      <c r="D2" s="24">
        <v>13074875574411</v>
      </c>
      <c r="E2" s="24">
        <v>12738165300013</v>
      </c>
      <c r="F2" s="24">
        <v>10475754506935</v>
      </c>
      <c r="G2" s="24">
        <v>9693724627166</v>
      </c>
      <c r="H2">
        <v>9213963670705</v>
      </c>
      <c r="J2" s="3" t="s">
        <v>102</v>
      </c>
      <c r="K2" s="3" t="s">
        <v>103</v>
      </c>
      <c r="L2" s="3">
        <v>2023</v>
      </c>
      <c r="M2" s="3" t="s">
        <v>21</v>
      </c>
    </row>
    <row r="3" spans="1:13" x14ac:dyDescent="0.25">
      <c r="A3">
        <v>1</v>
      </c>
      <c r="B3" t="str">
        <v>Tiền và các khoản tương đương tiền</v>
      </c>
      <c r="C3" s="24">
        <v>843732062261</v>
      </c>
      <c r="D3" s="24">
        <v>781327381434</v>
      </c>
      <c r="E3" s="24">
        <v>1054089926902</v>
      </c>
      <c r="F3" s="24">
        <v>1005403528970</v>
      </c>
      <c r="G3" s="24">
        <v>660243301839</v>
      </c>
      <c r="H3">
        <v>1084367369474</v>
      </c>
      <c r="J3" s="3"/>
      <c r="K3" s="3" t="s">
        <v>19</v>
      </c>
      <c r="L3" s="3"/>
      <c r="M3" s="3" t="s">
        <v>22</v>
      </c>
    </row>
    <row r="4" spans="1:13" x14ac:dyDescent="0.25">
      <c r="A4">
        <v>2</v>
      </c>
      <c r="B4" t="str">
        <v>Tiền</v>
      </c>
      <c r="C4" s="24">
        <v>726961596396</v>
      </c>
      <c r="D4" s="24">
        <v>685129610152</v>
      </c>
      <c r="E4" s="24">
        <v>994486490253</v>
      </c>
      <c r="F4" s="24">
        <v>948303528970</v>
      </c>
      <c r="G4" s="24">
        <v>625743301839</v>
      </c>
      <c r="H4">
        <v>949867369474</v>
      </c>
      <c r="J4" s="3"/>
      <c r="K4" s="3" t="s">
        <v>20</v>
      </c>
      <c r="L4" s="3"/>
      <c r="M4" s="3"/>
    </row>
    <row r="5" spans="1:13" x14ac:dyDescent="0.25">
      <c r="A5">
        <v>3</v>
      </c>
      <c r="B5" t="str">
        <v>Các khoản tương đương tiền</v>
      </c>
      <c r="C5" s="24">
        <v>116770465865</v>
      </c>
      <c r="D5" s="24">
        <v>96197771282</v>
      </c>
      <c r="E5" s="24">
        <v>59603436649</v>
      </c>
      <c r="F5" s="24">
        <v>57100000000</v>
      </c>
      <c r="G5" s="24">
        <v>34500000000</v>
      </c>
      <c r="H5">
        <v>134500000000</v>
      </c>
    </row>
    <row r="6" spans="1:13" x14ac:dyDescent="0.25">
      <c r="A6">
        <v>4</v>
      </c>
      <c r="B6" t="str">
        <v>Các khoản đầu tư tài chính ngắn hạn</v>
      </c>
      <c r="C6" s="24">
        <v>437968372689</v>
      </c>
      <c r="D6" s="24">
        <v>486657331941</v>
      </c>
      <c r="E6" s="24">
        <v>420052122161</v>
      </c>
      <c r="F6" s="24">
        <v>251569818437</v>
      </c>
      <c r="G6" s="24">
        <v>272892771005</v>
      </c>
      <c r="H6">
        <v>396056701685</v>
      </c>
    </row>
    <row r="7" spans="1:13" x14ac:dyDescent="0.25">
      <c r="A7">
        <v>5</v>
      </c>
      <c r="B7" t="str">
        <v>Đầu tư ngắn hạn</v>
      </c>
      <c r="C7" s="24">
        <v>9353176</v>
      </c>
      <c r="D7" s="24">
        <v>9353176</v>
      </c>
      <c r="E7" s="24">
        <v>9353176</v>
      </c>
      <c r="F7" s="24">
        <v>9353176</v>
      </c>
      <c r="G7" s="24">
        <v>9353176</v>
      </c>
      <c r="H7">
        <v>120225576352</v>
      </c>
    </row>
    <row r="8" spans="1:13" x14ac:dyDescent="0.25">
      <c r="A8">
        <v>6</v>
      </c>
      <c r="B8" t="str">
        <v>Dự phòng giảm giá đầu tư ngắn hạn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>
        <v>0</v>
      </c>
    </row>
    <row r="9" spans="1:13" x14ac:dyDescent="0.25">
      <c r="A9">
        <v>7</v>
      </c>
      <c r="B9" t="str">
        <v>Đầu tư giữ đến ngày đáo hạn</v>
      </c>
      <c r="C9" s="24">
        <v>437959019513</v>
      </c>
      <c r="D9" s="24">
        <v>486647978765</v>
      </c>
      <c r="E9" s="24">
        <v>420042768985</v>
      </c>
      <c r="F9" s="24">
        <v>251560465261</v>
      </c>
      <c r="G9" s="24">
        <v>272883417829</v>
      </c>
      <c r="H9">
        <v>275831125333</v>
      </c>
    </row>
    <row r="10" spans="1:13" x14ac:dyDescent="0.25">
      <c r="A10">
        <v>8</v>
      </c>
      <c r="B10" t="str">
        <v>Các khoản phải thu ngắn hạn</v>
      </c>
      <c r="C10" s="24">
        <v>2756388671133</v>
      </c>
      <c r="D10" s="24">
        <v>2600540497021</v>
      </c>
      <c r="E10" s="24">
        <v>1780935538988</v>
      </c>
      <c r="F10" s="24">
        <v>1516693874948</v>
      </c>
      <c r="G10" s="24">
        <v>1638568461116</v>
      </c>
      <c r="H10">
        <v>1885600640896</v>
      </c>
    </row>
    <row r="11" spans="1:13" x14ac:dyDescent="0.25">
      <c r="A11">
        <v>9</v>
      </c>
      <c r="B11" t="str">
        <v>Phải thu khách hàng</v>
      </c>
      <c r="C11" s="24">
        <v>2330021378192</v>
      </c>
      <c r="D11" s="24">
        <v>2187747884625</v>
      </c>
      <c r="E11" s="24">
        <v>1298141023194</v>
      </c>
      <c r="F11" s="24">
        <v>1060728823320</v>
      </c>
      <c r="G11" s="24">
        <v>1307019995467</v>
      </c>
      <c r="H11">
        <v>1578603140636</v>
      </c>
    </row>
    <row r="12" spans="1:13" x14ac:dyDescent="0.25">
      <c r="A12">
        <v>10</v>
      </c>
      <c r="B12" t="str">
        <v>Trả trước cho người bán</v>
      </c>
      <c r="C12" s="24">
        <v>398795439988</v>
      </c>
      <c r="D12" s="24">
        <v>414594247436</v>
      </c>
      <c r="E12" s="24">
        <v>480360049310</v>
      </c>
      <c r="F12" s="24">
        <v>438034966801</v>
      </c>
      <c r="G12" s="24">
        <v>305354663242</v>
      </c>
      <c r="H12">
        <v>281375399757</v>
      </c>
    </row>
    <row r="13" spans="1:13" x14ac:dyDescent="0.25">
      <c r="A13">
        <v>11</v>
      </c>
      <c r="B13" t="str">
        <v>Phải thu nội bộ ngắn hạn</v>
      </c>
      <c r="C13" s="24">
        <v>0</v>
      </c>
      <c r="D13" s="24">
        <v>0</v>
      </c>
      <c r="E13" s="24">
        <v>0</v>
      </c>
      <c r="F13" s="24">
        <v>0</v>
      </c>
      <c r="G13" s="24">
        <v>0</v>
      </c>
      <c r="H13">
        <v>0</v>
      </c>
    </row>
    <row r="14" spans="1:13" x14ac:dyDescent="0.25">
      <c r="A14">
        <v>12</v>
      </c>
      <c r="B14" t="str">
        <v>Phải thu theo tiến độ kế hoạch hợp đồng xây dựng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  <c r="H14">
        <v>0</v>
      </c>
    </row>
    <row r="15" spans="1:13" x14ac:dyDescent="0.25">
      <c r="A15">
        <v>13</v>
      </c>
      <c r="B15" t="str">
        <v>Phải thu về cho vay ngắn hạn</v>
      </c>
      <c r="C15" s="24">
        <v>0</v>
      </c>
      <c r="D15" s="24">
        <v>0</v>
      </c>
      <c r="E15" s="24">
        <v>0</v>
      </c>
      <c r="F15" s="24">
        <v>0</v>
      </c>
      <c r="G15" s="24">
        <v>0</v>
      </c>
      <c r="H15">
        <v>0</v>
      </c>
    </row>
    <row r="16" spans="1:13" x14ac:dyDescent="0.25">
      <c r="A16">
        <v>14</v>
      </c>
      <c r="B16" t="str">
        <v>Các khoản phải thu khác</v>
      </c>
      <c r="C16" s="24">
        <v>33731048590</v>
      </c>
      <c r="D16" s="24">
        <v>4357560597</v>
      </c>
      <c r="E16" s="24">
        <v>8593662121</v>
      </c>
      <c r="F16" s="24">
        <v>26734127887</v>
      </c>
      <c r="G16" s="24">
        <v>34997845467</v>
      </c>
      <c r="H16">
        <v>35653930474</v>
      </c>
    </row>
    <row r="17" spans="1:8" x14ac:dyDescent="0.25">
      <c r="A17">
        <v>15</v>
      </c>
      <c r="B17" t="str">
        <v>Dự phòng phải thu ngắn hạn khó đòi</v>
      </c>
      <c r="C17" s="24">
        <v>-6159195637</v>
      </c>
      <c r="D17" s="24">
        <v>-6159195637</v>
      </c>
      <c r="E17" s="24">
        <v>-6159195637</v>
      </c>
      <c r="F17" s="24">
        <v>-8804043060</v>
      </c>
      <c r="G17" s="24">
        <v>-8804043060</v>
      </c>
      <c r="H17">
        <v>-10031829971</v>
      </c>
    </row>
    <row r="18" spans="1:8" x14ac:dyDescent="0.25">
      <c r="A18">
        <v>16</v>
      </c>
      <c r="B18" t="str">
        <v>Tài sản thiếu chờ xử lý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  <c r="H18">
        <v>0</v>
      </c>
    </row>
    <row r="19" spans="1:8" x14ac:dyDescent="0.25">
      <c r="A19">
        <v>17</v>
      </c>
      <c r="B19" t="str">
        <v>Hàng tồn kho</v>
      </c>
      <c r="C19" s="24">
        <v>8501932148771</v>
      </c>
      <c r="D19" s="24">
        <v>8439114492077</v>
      </c>
      <c r="E19" s="24">
        <v>8837812973538</v>
      </c>
      <c r="F19" s="24">
        <v>7061262656464</v>
      </c>
      <c r="G19" s="24">
        <v>6478278679247</v>
      </c>
      <c r="H19">
        <v>5228863617802</v>
      </c>
    </row>
    <row r="20" spans="1:8" x14ac:dyDescent="0.25">
      <c r="A20">
        <v>18</v>
      </c>
      <c r="B20" t="str">
        <v>Hàng tồn kho</v>
      </c>
      <c r="C20" s="24">
        <v>8603711491684</v>
      </c>
      <c r="D20" s="24">
        <v>8541359464142</v>
      </c>
      <c r="E20" s="24">
        <v>9127881696995</v>
      </c>
      <c r="F20" s="24">
        <v>7351609320176</v>
      </c>
      <c r="G20" s="24">
        <v>6623021008689</v>
      </c>
      <c r="H20">
        <v>5385257774040</v>
      </c>
    </row>
    <row r="21" spans="1:8" x14ac:dyDescent="0.25">
      <c r="A21">
        <v>19</v>
      </c>
      <c r="B21" t="str">
        <v>Dự phòng giảm giá hàng tồn kho</v>
      </c>
      <c r="C21" s="24">
        <v>-101779342913</v>
      </c>
      <c r="D21" s="24">
        <v>-102244972065</v>
      </c>
      <c r="E21" s="24">
        <v>-290068723457</v>
      </c>
      <c r="F21" s="24">
        <v>-290346663712</v>
      </c>
      <c r="G21" s="24">
        <v>-144742329442</v>
      </c>
      <c r="H21">
        <v>-156394156238</v>
      </c>
    </row>
    <row r="22" spans="1:8" x14ac:dyDescent="0.25">
      <c r="A22">
        <v>20</v>
      </c>
      <c r="B22" t="str">
        <v>Tài sản ngắn hạn khác</v>
      </c>
      <c r="C22" s="24">
        <v>677045425100</v>
      </c>
      <c r="D22" s="24">
        <v>767235871938</v>
      </c>
      <c r="E22" s="24">
        <v>645274738424</v>
      </c>
      <c r="F22" s="24">
        <v>640824628116</v>
      </c>
      <c r="G22" s="24">
        <v>643741413959</v>
      </c>
      <c r="H22">
        <v>619075340848</v>
      </c>
    </row>
    <row r="23" spans="1:8" x14ac:dyDescent="0.25">
      <c r="A23">
        <v>21</v>
      </c>
      <c r="B23" t="str">
        <v>Chi phí trả trước ngắn hạn</v>
      </c>
      <c r="C23" s="24">
        <v>20506577958</v>
      </c>
      <c r="D23" s="24">
        <v>19652231945</v>
      </c>
      <c r="E23" s="24">
        <v>24420025959</v>
      </c>
      <c r="F23" s="24">
        <v>16774143093</v>
      </c>
      <c r="G23" s="24">
        <v>18110580560</v>
      </c>
      <c r="H23">
        <v>10911805799</v>
      </c>
    </row>
    <row r="24" spans="1:8" x14ac:dyDescent="0.25">
      <c r="A24">
        <v>22</v>
      </c>
      <c r="B24" t="str">
        <v>Thuế GTGT được khấu trừ</v>
      </c>
      <c r="C24" s="24">
        <v>656436357232</v>
      </c>
      <c r="D24" s="24">
        <v>747501667084</v>
      </c>
      <c r="E24" s="24">
        <v>620781496634</v>
      </c>
      <c r="F24" s="24">
        <v>624032687013</v>
      </c>
      <c r="G24" s="24">
        <v>625535939164</v>
      </c>
      <c r="H24">
        <v>608078969341</v>
      </c>
    </row>
    <row r="25" spans="1:8" x14ac:dyDescent="0.25">
      <c r="A25">
        <v>23</v>
      </c>
      <c r="B25" t="str">
        <v>Thuế và các khoản khác phải thu Nhà nước</v>
      </c>
      <c r="C25" s="24">
        <v>102489910</v>
      </c>
      <c r="D25" s="24">
        <v>81972909</v>
      </c>
      <c r="E25" s="24">
        <v>73215831</v>
      </c>
      <c r="F25" s="24">
        <v>17798010</v>
      </c>
      <c r="G25" s="24">
        <v>94894235</v>
      </c>
      <c r="H25">
        <v>84565708</v>
      </c>
    </row>
    <row r="26" spans="1:8" x14ac:dyDescent="0.25">
      <c r="A26">
        <v>24</v>
      </c>
      <c r="B26" t="str">
        <v>Giao dịch mua bán lại trái phiếu chính phủ</v>
      </c>
      <c r="C26" s="24">
        <v>0</v>
      </c>
      <c r="D26" s="24">
        <v>0</v>
      </c>
      <c r="E26" s="24">
        <v>0</v>
      </c>
      <c r="F26" s="24">
        <v>0</v>
      </c>
      <c r="G26" s="24">
        <v>0</v>
      </c>
      <c r="H26">
        <v>0</v>
      </c>
    </row>
    <row r="27" spans="1:8" x14ac:dyDescent="0.25">
      <c r="A27">
        <v>25</v>
      </c>
      <c r="B27" t="str">
        <v>Tài sản ngắn hạn khác</v>
      </c>
      <c r="C27" s="24">
        <v>0</v>
      </c>
      <c r="D27" s="24">
        <v>0</v>
      </c>
      <c r="E27" s="24">
        <v>0</v>
      </c>
      <c r="F27" s="24">
        <v>0</v>
      </c>
      <c r="G27" s="24">
        <v>0</v>
      </c>
      <c r="H27">
        <v>0</v>
      </c>
    </row>
    <row r="28" spans="1:8" x14ac:dyDescent="0.25">
      <c r="A28">
        <v>26</v>
      </c>
      <c r="B28" t="str">
        <v>Tài sản dài hạn</v>
      </c>
      <c r="C28" s="24">
        <v>3220195644428</v>
      </c>
      <c r="D28" s="24">
        <v>3183269896265</v>
      </c>
      <c r="E28" s="24">
        <v>3122039716548</v>
      </c>
      <c r="F28" s="24">
        <v>3045850764906</v>
      </c>
      <c r="G28" s="24">
        <v>3058173699092</v>
      </c>
      <c r="H28">
        <v>2965002678468</v>
      </c>
    </row>
    <row r="29" spans="1:8" x14ac:dyDescent="0.25">
      <c r="A29">
        <v>27</v>
      </c>
      <c r="B29" t="str">
        <v>Các khoản phải thu dài hạn</v>
      </c>
      <c r="C29" s="24">
        <v>6500000</v>
      </c>
      <c r="D29" s="24">
        <v>6500000</v>
      </c>
      <c r="E29" s="24">
        <v>6500000</v>
      </c>
      <c r="F29" s="24">
        <v>2310962017</v>
      </c>
      <c r="G29" s="24">
        <v>2310962017</v>
      </c>
      <c r="H29">
        <v>2310962017</v>
      </c>
    </row>
    <row r="30" spans="1:8" x14ac:dyDescent="0.25">
      <c r="A30">
        <v>28</v>
      </c>
      <c r="B30" t="str">
        <v>Phải thu dài hạn của khách hàng</v>
      </c>
      <c r="C30" s="24">
        <v>0</v>
      </c>
      <c r="D30" s="24">
        <v>0</v>
      </c>
      <c r="E30" s="24">
        <v>0</v>
      </c>
      <c r="F30" s="24">
        <v>0</v>
      </c>
      <c r="G30" s="24">
        <v>0</v>
      </c>
      <c r="H30">
        <v>0</v>
      </c>
    </row>
    <row r="31" spans="1:8" x14ac:dyDescent="0.25">
      <c r="A31">
        <v>29</v>
      </c>
      <c r="B31" t="str">
        <v>Trả trước dài hạn người bán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>
        <v>0</v>
      </c>
    </row>
    <row r="32" spans="1:8" x14ac:dyDescent="0.25">
      <c r="A32">
        <v>30</v>
      </c>
      <c r="B32" t="str">
        <v>Vốn kinh doanh ở đơn vị trực thuộc</v>
      </c>
      <c r="C32" s="24">
        <v>0</v>
      </c>
      <c r="D32" s="24">
        <v>0</v>
      </c>
      <c r="E32" s="24">
        <v>0</v>
      </c>
      <c r="F32" s="24">
        <v>0</v>
      </c>
      <c r="G32" s="24">
        <v>0</v>
      </c>
      <c r="H32">
        <v>0</v>
      </c>
    </row>
    <row r="33" spans="1:8" x14ac:dyDescent="0.25">
      <c r="A33">
        <v>31</v>
      </c>
      <c r="B33" t="str">
        <v>Phải thu dài hạn nội bộ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>
        <v>0</v>
      </c>
    </row>
    <row r="34" spans="1:8" x14ac:dyDescent="0.25">
      <c r="A34">
        <v>32</v>
      </c>
      <c r="B34" t="str">
        <v>Phải thu về cho vay dài hạn</v>
      </c>
      <c r="C34" s="24">
        <v>0</v>
      </c>
      <c r="D34" s="24">
        <v>0</v>
      </c>
      <c r="E34" s="24">
        <v>0</v>
      </c>
      <c r="F34" s="24">
        <v>0</v>
      </c>
      <c r="G34" s="24">
        <v>0</v>
      </c>
      <c r="H34">
        <v>0</v>
      </c>
    </row>
    <row r="35" spans="1:8" x14ac:dyDescent="0.25">
      <c r="A35">
        <v>33</v>
      </c>
      <c r="B35" t="str">
        <v>Phải thu dài hạn khác</v>
      </c>
      <c r="C35" s="24">
        <v>6500000</v>
      </c>
      <c r="D35" s="24">
        <v>6500000</v>
      </c>
      <c r="E35" s="24">
        <v>6500000</v>
      </c>
      <c r="F35" s="24">
        <v>2310962017</v>
      </c>
      <c r="G35" s="24">
        <v>2310962017</v>
      </c>
      <c r="H35">
        <v>2310962017</v>
      </c>
    </row>
    <row r="36" spans="1:8" x14ac:dyDescent="0.25">
      <c r="A36">
        <v>34</v>
      </c>
      <c r="B36" t="str">
        <v>Dự phòng phải thu dài hạn khó đòi</v>
      </c>
      <c r="C36" s="24">
        <v>0</v>
      </c>
      <c r="D36" s="24">
        <v>0</v>
      </c>
      <c r="E36" s="24">
        <v>0</v>
      </c>
      <c r="F36" s="24">
        <v>0</v>
      </c>
      <c r="G36" s="24">
        <v>0</v>
      </c>
      <c r="H36">
        <v>0</v>
      </c>
    </row>
    <row r="37" spans="1:8" x14ac:dyDescent="0.25">
      <c r="A37">
        <v>35</v>
      </c>
      <c r="B37" t="str">
        <v>Tài sản cố định</v>
      </c>
      <c r="C37" s="24">
        <v>2703759823442</v>
      </c>
      <c r="D37" s="24">
        <v>2712909427333</v>
      </c>
      <c r="E37" s="24">
        <v>2620073216510</v>
      </c>
      <c r="F37" s="24">
        <v>2588279100706</v>
      </c>
      <c r="G37" s="24">
        <v>2582061851867</v>
      </c>
      <c r="H37">
        <v>2495520961021</v>
      </c>
    </row>
    <row r="38" spans="1:8" x14ac:dyDescent="0.25">
      <c r="A38">
        <v>36</v>
      </c>
      <c r="B38" t="str">
        <v>Tài sản cố định hữu hình</v>
      </c>
      <c r="C38" s="24">
        <v>2464901002635</v>
      </c>
      <c r="D38" s="24">
        <v>2425422151417</v>
      </c>
      <c r="E38" s="24">
        <v>2334862640694</v>
      </c>
      <c r="F38" s="24">
        <v>2263795076520</v>
      </c>
      <c r="G38" s="24">
        <v>2200595636190</v>
      </c>
      <c r="H38">
        <v>2117834643856</v>
      </c>
    </row>
    <row r="39" spans="1:8" x14ac:dyDescent="0.25">
      <c r="A39">
        <v>37</v>
      </c>
      <c r="B39" t="str">
        <v>Tài sản cố định thuê tài chính</v>
      </c>
      <c r="C39" s="24">
        <v>0</v>
      </c>
      <c r="D39" s="24">
        <v>0</v>
      </c>
      <c r="E39" s="24">
        <v>0</v>
      </c>
      <c r="F39" s="24">
        <v>41550148470</v>
      </c>
      <c r="G39" s="24">
        <v>40502665736</v>
      </c>
      <c r="H39">
        <v>39455183000</v>
      </c>
    </row>
    <row r="40" spans="1:8" x14ac:dyDescent="0.25">
      <c r="A40">
        <v>38</v>
      </c>
      <c r="B40" t="str">
        <v>Tài sản cố định vô hình</v>
      </c>
      <c r="C40" s="24">
        <v>238858820807</v>
      </c>
      <c r="D40" s="24">
        <v>287487275916</v>
      </c>
      <c r="E40" s="24">
        <v>285210575816</v>
      </c>
      <c r="F40" s="24">
        <v>282933875716</v>
      </c>
      <c r="G40" s="24">
        <v>340963549941</v>
      </c>
      <c r="H40">
        <v>338231134165</v>
      </c>
    </row>
    <row r="41" spans="1:8" x14ac:dyDescent="0.25">
      <c r="A41">
        <v>39</v>
      </c>
      <c r="B41" t="str">
        <v>Chi phí xây dựng cơ bản dở dang (trước 2015)</v>
      </c>
      <c r="C41" s="24">
        <v>0</v>
      </c>
      <c r="D41" s="24">
        <v>0</v>
      </c>
      <c r="E41" s="24">
        <v>0</v>
      </c>
      <c r="F41" s="24">
        <v>0</v>
      </c>
      <c r="G41" s="24">
        <v>0</v>
      </c>
      <c r="H41">
        <v>0</v>
      </c>
    </row>
    <row r="42" spans="1:8" x14ac:dyDescent="0.25">
      <c r="A42">
        <v>40</v>
      </c>
      <c r="B42" t="str">
        <v>Bất động sản đầu tư</v>
      </c>
      <c r="C42" s="24">
        <v>0</v>
      </c>
      <c r="D42" s="24">
        <v>0</v>
      </c>
      <c r="E42" s="24">
        <v>0</v>
      </c>
      <c r="F42" s="24">
        <v>0</v>
      </c>
      <c r="G42" s="24">
        <v>0</v>
      </c>
      <c r="H42">
        <v>0</v>
      </c>
    </row>
    <row r="43" spans="1:8" x14ac:dyDescent="0.25">
      <c r="A43">
        <v>41</v>
      </c>
      <c r="B43" t="str">
        <v>Nguyên giá bất động sản đầu tư</v>
      </c>
      <c r="C43" s="24">
        <v>0</v>
      </c>
      <c r="D43" s="24">
        <v>0</v>
      </c>
      <c r="E43" s="24">
        <v>0</v>
      </c>
      <c r="F43" s="24">
        <v>0</v>
      </c>
      <c r="G43" s="24">
        <v>0</v>
      </c>
      <c r="H43">
        <v>0</v>
      </c>
    </row>
    <row r="44" spans="1:8" x14ac:dyDescent="0.25">
      <c r="A44">
        <v>42</v>
      </c>
      <c r="B44" t="str">
        <v>Hao mòn bất động sản đầu tư</v>
      </c>
      <c r="C44" s="24">
        <v>0</v>
      </c>
      <c r="D44" s="24">
        <v>0</v>
      </c>
      <c r="E44" s="24">
        <v>0</v>
      </c>
      <c r="F44" s="24">
        <v>0</v>
      </c>
      <c r="G44" s="24">
        <v>0</v>
      </c>
      <c r="H44">
        <v>0</v>
      </c>
    </row>
    <row r="45" spans="1:8" x14ac:dyDescent="0.25">
      <c r="A45">
        <v>43</v>
      </c>
      <c r="B45" t="str">
        <v>Tài sản dở dang dài hạn</v>
      </c>
      <c r="C45" s="24">
        <v>298675604163</v>
      </c>
      <c r="D45" s="24">
        <v>234200058218</v>
      </c>
      <c r="E45" s="24">
        <v>264422808955</v>
      </c>
      <c r="F45" s="24">
        <v>219720614905</v>
      </c>
      <c r="G45" s="24">
        <v>234553486611</v>
      </c>
      <c r="H45">
        <v>238151756293</v>
      </c>
    </row>
    <row r="46" spans="1:8" x14ac:dyDescent="0.25">
      <c r="A46">
        <v>44</v>
      </c>
      <c r="B46" t="str">
        <v>Chi phí sản xuất, kinh doanh dở dang dài hạn</v>
      </c>
      <c r="C46" s="24">
        <v>0</v>
      </c>
      <c r="D46" s="24">
        <v>0</v>
      </c>
      <c r="E46" s="24">
        <v>0</v>
      </c>
      <c r="F46" s="24">
        <v>0</v>
      </c>
      <c r="G46" s="24">
        <v>0</v>
      </c>
      <c r="H46">
        <v>0</v>
      </c>
    </row>
    <row r="47" spans="1:8" x14ac:dyDescent="0.25">
      <c r="A47">
        <v>45</v>
      </c>
      <c r="B47" t="str">
        <v xml:space="preserve">Chi phí xây dựng cơ bản dở dang </v>
      </c>
      <c r="C47" s="24">
        <v>298675604163</v>
      </c>
      <c r="D47" s="24">
        <v>234200058218</v>
      </c>
      <c r="E47" s="24">
        <v>264422808955</v>
      </c>
      <c r="F47" s="24">
        <v>219720614905</v>
      </c>
      <c r="G47" s="24">
        <v>234553486611</v>
      </c>
      <c r="H47">
        <v>238151756293</v>
      </c>
    </row>
    <row r="48" spans="1:8" x14ac:dyDescent="0.25">
      <c r="A48">
        <v>46</v>
      </c>
      <c r="B48" t="str">
        <v>Các khoản đầu tư tài chính dài hạn</v>
      </c>
      <c r="C48" s="24">
        <v>8180000000</v>
      </c>
      <c r="D48" s="24">
        <v>8180000000</v>
      </c>
      <c r="E48" s="24">
        <v>8180000000</v>
      </c>
      <c r="F48" s="24">
        <v>8180000000</v>
      </c>
      <c r="G48" s="24">
        <v>8180000000</v>
      </c>
      <c r="H48">
        <v>3180000000</v>
      </c>
    </row>
    <row r="49" spans="1:8" x14ac:dyDescent="0.25">
      <c r="A49">
        <v>47</v>
      </c>
      <c r="B49" t="str">
        <v>Đầu tư vào công ty con</v>
      </c>
      <c r="C49" s="24">
        <v>0</v>
      </c>
      <c r="D49" s="24">
        <v>0</v>
      </c>
      <c r="E49" s="24">
        <v>0</v>
      </c>
      <c r="F49" s="24">
        <v>0</v>
      </c>
      <c r="G49" s="24">
        <v>0</v>
      </c>
      <c r="H49">
        <v>0</v>
      </c>
    </row>
    <row r="50" spans="1:8" x14ac:dyDescent="0.25">
      <c r="A50">
        <v>48</v>
      </c>
      <c r="B50" t="str">
        <v>Đầu tư vào công ty liên kết, liên doanh</v>
      </c>
      <c r="C50" s="24">
        <v>0</v>
      </c>
      <c r="D50" s="24">
        <v>0</v>
      </c>
      <c r="E50" s="24">
        <v>0</v>
      </c>
      <c r="F50" s="24">
        <v>0</v>
      </c>
      <c r="G50" s="24">
        <v>0</v>
      </c>
      <c r="H50">
        <v>0</v>
      </c>
    </row>
    <row r="51" spans="1:8" x14ac:dyDescent="0.25">
      <c r="A51">
        <v>49</v>
      </c>
      <c r="B51" t="str">
        <v>Đầu tư dài hạn khác</v>
      </c>
      <c r="C51" s="24">
        <v>0</v>
      </c>
      <c r="D51" s="24">
        <v>0</v>
      </c>
      <c r="E51" s="24">
        <v>0</v>
      </c>
      <c r="F51" s="24">
        <v>0</v>
      </c>
      <c r="G51" s="24">
        <v>0</v>
      </c>
      <c r="H51">
        <v>0</v>
      </c>
    </row>
    <row r="52" spans="1:8" x14ac:dyDescent="0.25">
      <c r="A52">
        <v>50</v>
      </c>
      <c r="B52" t="str">
        <v>Dự phòng giảm giá đầu tư tài chính dài hạn</v>
      </c>
      <c r="C52" s="24">
        <v>0</v>
      </c>
      <c r="D52" s="24">
        <v>0</v>
      </c>
      <c r="E52" s="24">
        <v>0</v>
      </c>
      <c r="F52" s="24">
        <v>0</v>
      </c>
      <c r="G52" s="24">
        <v>0</v>
      </c>
      <c r="H52">
        <v>0</v>
      </c>
    </row>
    <row r="53" spans="1:8" x14ac:dyDescent="0.25">
      <c r="A53">
        <v>51</v>
      </c>
      <c r="B53" t="str">
        <v>Đầu tư dài hạn giữ đến ngày đáo hạn</v>
      </c>
      <c r="C53" s="24">
        <v>8180000000</v>
      </c>
      <c r="D53" s="24">
        <v>8180000000</v>
      </c>
      <c r="E53" s="24">
        <v>8180000000</v>
      </c>
      <c r="F53" s="24">
        <v>8180000000</v>
      </c>
      <c r="G53" s="24">
        <v>8180000000</v>
      </c>
      <c r="H53">
        <v>3180000000</v>
      </c>
    </row>
    <row r="54" spans="1:8" x14ac:dyDescent="0.25">
      <c r="A54">
        <v>52</v>
      </c>
      <c r="B54" t="str">
        <v>Tài sản dài hạn khác</v>
      </c>
      <c r="C54" s="24">
        <v>209573716823</v>
      </c>
      <c r="D54" s="24">
        <v>227973910714</v>
      </c>
      <c r="E54" s="24">
        <v>229357191083</v>
      </c>
      <c r="F54" s="24">
        <v>227360087278</v>
      </c>
      <c r="G54" s="24">
        <v>231067398597</v>
      </c>
      <c r="H54">
        <v>225838999137</v>
      </c>
    </row>
    <row r="55" spans="1:8" x14ac:dyDescent="0.25">
      <c r="A55">
        <v>53</v>
      </c>
      <c r="B55" t="str">
        <v>Chi phí trả trước dài hạn</v>
      </c>
      <c r="C55" s="24">
        <v>209573716823</v>
      </c>
      <c r="D55" s="24">
        <v>227973910714</v>
      </c>
      <c r="E55" s="24">
        <v>229357191083</v>
      </c>
      <c r="F55" s="24">
        <v>227360087278</v>
      </c>
      <c r="G55" s="24">
        <v>231067398597</v>
      </c>
      <c r="H55">
        <v>225838999137</v>
      </c>
    </row>
    <row r="56" spans="1:8" x14ac:dyDescent="0.25">
      <c r="A56">
        <v>54</v>
      </c>
      <c r="B56" t="str">
        <v>Tài sản thuế thu nhập hoãn lại</v>
      </c>
      <c r="C56" s="24">
        <v>0</v>
      </c>
      <c r="D56" s="24">
        <v>0</v>
      </c>
      <c r="E56" s="24">
        <v>0</v>
      </c>
      <c r="F56" s="24">
        <v>0</v>
      </c>
      <c r="G56" s="24">
        <v>0</v>
      </c>
      <c r="H56">
        <v>0</v>
      </c>
    </row>
    <row r="57" spans="1:8" x14ac:dyDescent="0.25">
      <c r="A57">
        <v>55</v>
      </c>
      <c r="B57" t="str">
        <v>Thiết bị, vật tư, phụ tùng thay thế dài hạn</v>
      </c>
      <c r="C57" s="24">
        <v>0</v>
      </c>
      <c r="D57" s="24">
        <v>0</v>
      </c>
      <c r="E57" s="24">
        <v>0</v>
      </c>
      <c r="F57" s="24">
        <v>0</v>
      </c>
      <c r="G57" s="24">
        <v>0</v>
      </c>
      <c r="H57">
        <v>0</v>
      </c>
    </row>
    <row r="58" spans="1:8" x14ac:dyDescent="0.25">
      <c r="A58">
        <v>56</v>
      </c>
      <c r="B58" t="str">
        <v>Tài sản dài hạn khác</v>
      </c>
      <c r="C58" s="24">
        <v>0</v>
      </c>
      <c r="D58" s="24">
        <v>0</v>
      </c>
      <c r="E58" s="24">
        <v>0</v>
      </c>
      <c r="F58" s="24">
        <v>0</v>
      </c>
      <c r="G58" s="24">
        <v>0</v>
      </c>
      <c r="H58">
        <v>0</v>
      </c>
    </row>
    <row r="59" spans="1:8" x14ac:dyDescent="0.25">
      <c r="A59">
        <v>57</v>
      </c>
      <c r="B59" t="str">
        <v>Lợi thế thương mại</v>
      </c>
      <c r="C59" s="24">
        <v>0</v>
      </c>
      <c r="D59" s="24">
        <v>0</v>
      </c>
      <c r="E59" s="24">
        <v>0</v>
      </c>
      <c r="F59" s="24">
        <v>0</v>
      </c>
      <c r="G59" s="24">
        <v>0</v>
      </c>
      <c r="H59">
        <v>0</v>
      </c>
    </row>
    <row r="60" spans="1:8" x14ac:dyDescent="0.25">
      <c r="A60">
        <v>58</v>
      </c>
      <c r="B60" t="str">
        <v>Lợi thế thương mại (trước 2015)</v>
      </c>
      <c r="C60" s="24">
        <v>0</v>
      </c>
      <c r="D60" s="24">
        <v>0</v>
      </c>
      <c r="E60" s="24">
        <v>0</v>
      </c>
      <c r="F60" s="24">
        <v>0</v>
      </c>
      <c r="G60" s="24">
        <v>0</v>
      </c>
      <c r="H60">
        <v>0</v>
      </c>
    </row>
    <row r="61" spans="1:8" x14ac:dyDescent="0.25">
      <c r="A61">
        <v>59</v>
      </c>
      <c r="B61" t="str">
        <v>TỔNG CỘNG TÀI SẢN</v>
      </c>
      <c r="C61" s="24">
        <v>16437262324382</v>
      </c>
      <c r="D61" s="24">
        <v>16258145470676</v>
      </c>
      <c r="E61" s="24">
        <v>15860205016561</v>
      </c>
      <c r="F61" s="24">
        <v>13521605271841</v>
      </c>
      <c r="G61" s="24">
        <v>12751898326258</v>
      </c>
      <c r="H61">
        <v>12178966349173</v>
      </c>
    </row>
    <row r="62" spans="1:8" x14ac:dyDescent="0.25">
      <c r="A62">
        <v>60</v>
      </c>
      <c r="B62" t="str">
        <v>Nợ phải trả</v>
      </c>
      <c r="C62" s="24">
        <v>10199899247929</v>
      </c>
      <c r="D62" s="24">
        <v>10105482246632</v>
      </c>
      <c r="E62" s="24">
        <v>10126227932902</v>
      </c>
      <c r="F62" s="24">
        <v>8143977571238</v>
      </c>
      <c r="G62" s="24">
        <v>7490808429967</v>
      </c>
      <c r="H62">
        <v>6797176462788</v>
      </c>
    </row>
    <row r="63" spans="1:8" x14ac:dyDescent="0.25">
      <c r="A63">
        <v>61</v>
      </c>
      <c r="B63" t="str">
        <v>Nợ ngắn hạn</v>
      </c>
      <c r="C63" s="24">
        <v>10147808495361</v>
      </c>
      <c r="D63" s="24">
        <v>10072868461935</v>
      </c>
      <c r="E63" s="24">
        <v>10093638462061</v>
      </c>
      <c r="F63" s="24">
        <v>8108870806964</v>
      </c>
      <c r="G63" s="24">
        <v>7461855542172</v>
      </c>
      <c r="H63">
        <v>6768436959028</v>
      </c>
    </row>
    <row r="64" spans="1:8" x14ac:dyDescent="0.25">
      <c r="A64">
        <v>62</v>
      </c>
      <c r="B64" t="str">
        <v>Vay và nợ ngắn hạn</v>
      </c>
      <c r="C64" s="24">
        <v>5259662016097</v>
      </c>
      <c r="D64" s="24">
        <v>4843073332820</v>
      </c>
      <c r="E64" s="24">
        <v>5761016801394</v>
      </c>
      <c r="F64" s="24">
        <v>5111300049514</v>
      </c>
      <c r="G64" s="24">
        <v>5608267517884</v>
      </c>
      <c r="H64">
        <v>4525981834520</v>
      </c>
    </row>
    <row r="65" spans="1:8" x14ac:dyDescent="0.25">
      <c r="A65">
        <v>63</v>
      </c>
      <c r="B65" t="str">
        <v>Phải trả người bán</v>
      </c>
      <c r="C65" s="24">
        <v>3862210702589</v>
      </c>
      <c r="D65" s="24">
        <v>4266294506930</v>
      </c>
      <c r="E65" s="24">
        <v>3778678240445</v>
      </c>
      <c r="F65" s="24">
        <v>2544340815756</v>
      </c>
      <c r="G65" s="24">
        <v>1376240108931</v>
      </c>
      <c r="H65">
        <v>1688581985878</v>
      </c>
    </row>
    <row r="66" spans="1:8" x14ac:dyDescent="0.25">
      <c r="A66">
        <v>64</v>
      </c>
      <c r="B66" t="str">
        <v>Người mua trả tiền trước</v>
      </c>
      <c r="C66" s="24">
        <v>739351867269</v>
      </c>
      <c r="D66" s="24">
        <v>327430534370</v>
      </c>
      <c r="E66" s="24">
        <v>285721324372</v>
      </c>
      <c r="F66" s="24">
        <v>258338533839</v>
      </c>
      <c r="G66" s="24">
        <v>299945595660</v>
      </c>
      <c r="H66">
        <v>272767766625</v>
      </c>
    </row>
    <row r="67" spans="1:8" x14ac:dyDescent="0.25">
      <c r="A67">
        <v>65</v>
      </c>
      <c r="B67" t="str">
        <v>Thuế và các khoản phải nộp Nhà nước</v>
      </c>
      <c r="C67" s="24">
        <v>181971594707</v>
      </c>
      <c r="D67" s="24">
        <v>225990401733</v>
      </c>
      <c r="E67" s="24">
        <v>91677324961</v>
      </c>
      <c r="F67" s="24">
        <v>15798431141</v>
      </c>
      <c r="G67" s="24">
        <v>19622958962</v>
      </c>
      <c r="H67">
        <v>77788058576</v>
      </c>
    </row>
    <row r="68" spans="1:8" x14ac:dyDescent="0.25">
      <c r="A68">
        <v>66</v>
      </c>
      <c r="B68" t="str">
        <v>Phải trả người lao động</v>
      </c>
      <c r="C68" s="24">
        <v>21998141246</v>
      </c>
      <c r="D68" s="24">
        <v>22110569310</v>
      </c>
      <c r="E68" s="24">
        <v>19069893773</v>
      </c>
      <c r="F68" s="24">
        <v>25259058783</v>
      </c>
      <c r="G68" s="24">
        <v>22695826163</v>
      </c>
      <c r="H68">
        <v>18662182070</v>
      </c>
    </row>
    <row r="69" spans="1:8" x14ac:dyDescent="0.25">
      <c r="A69">
        <v>67</v>
      </c>
      <c r="B69" t="str">
        <v>Chi phí phải trả</v>
      </c>
      <c r="C69" s="24">
        <v>19096046869</v>
      </c>
      <c r="D69" s="24">
        <v>62210819123</v>
      </c>
      <c r="E69" s="24">
        <v>41342799045</v>
      </c>
      <c r="F69" s="24">
        <v>34313565681</v>
      </c>
      <c r="G69" s="24">
        <v>19721578777</v>
      </c>
      <c r="H69">
        <v>58001460993</v>
      </c>
    </row>
    <row r="70" spans="1:8" x14ac:dyDescent="0.25">
      <c r="A70">
        <v>68</v>
      </c>
      <c r="B70" t="str">
        <v>Phải trả nội bộ</v>
      </c>
      <c r="C70" s="24">
        <v>0</v>
      </c>
      <c r="D70" s="24">
        <v>0</v>
      </c>
      <c r="E70" s="24">
        <v>0</v>
      </c>
      <c r="F70" s="24">
        <v>0</v>
      </c>
      <c r="G70" s="24">
        <v>0</v>
      </c>
      <c r="H70">
        <v>0</v>
      </c>
    </row>
    <row r="71" spans="1:8" x14ac:dyDescent="0.25">
      <c r="A71">
        <v>69</v>
      </c>
      <c r="B71" t="str">
        <v>Phải trả theo tiến độ kế hoạch hợp đồng xây dựng</v>
      </c>
      <c r="C71" s="24">
        <v>0</v>
      </c>
      <c r="D71" s="24">
        <v>0</v>
      </c>
      <c r="E71" s="24">
        <v>0</v>
      </c>
      <c r="F71" s="24">
        <v>0</v>
      </c>
      <c r="G71" s="24">
        <v>0</v>
      </c>
      <c r="H71">
        <v>0</v>
      </c>
    </row>
    <row r="72" spans="1:8" x14ac:dyDescent="0.25">
      <c r="A72">
        <v>70</v>
      </c>
      <c r="B72" t="str">
        <v>Các khoản phải trả, phải nộp ngắn hạn khác</v>
      </c>
      <c r="C72" s="24">
        <v>14995703259</v>
      </c>
      <c r="D72" s="24">
        <v>211106942577</v>
      </c>
      <c r="E72" s="24">
        <v>1492722999</v>
      </c>
      <c r="F72" s="24">
        <v>5372997178</v>
      </c>
      <c r="G72" s="24">
        <v>1226600723</v>
      </c>
      <c r="H72">
        <v>13688915294</v>
      </c>
    </row>
    <row r="73" spans="1:8" x14ac:dyDescent="0.25">
      <c r="A73">
        <v>71</v>
      </c>
      <c r="B73" t="str">
        <v>Quỹ khen thưởng, phúc lợi</v>
      </c>
      <c r="C73" s="24">
        <v>48522423325</v>
      </c>
      <c r="D73" s="24">
        <v>114651355072</v>
      </c>
      <c r="E73" s="24">
        <v>114639355072</v>
      </c>
      <c r="F73" s="24">
        <v>114147355072</v>
      </c>
      <c r="G73" s="24">
        <v>114135355072</v>
      </c>
      <c r="H73">
        <v>112964755072</v>
      </c>
    </row>
    <row r="74" spans="1:8" x14ac:dyDescent="0.25">
      <c r="A74">
        <v>72</v>
      </c>
      <c r="B74" t="str">
        <v>Doanh thu chưa thực hiện ngắn hạn</v>
      </c>
      <c r="C74" s="24">
        <v>0</v>
      </c>
      <c r="D74" s="24">
        <v>0</v>
      </c>
      <c r="E74" s="24">
        <v>0</v>
      </c>
      <c r="F74" s="24">
        <v>0</v>
      </c>
      <c r="G74" s="24">
        <v>0</v>
      </c>
      <c r="H74">
        <v>0</v>
      </c>
    </row>
    <row r="75" spans="1:8" x14ac:dyDescent="0.25">
      <c r="A75">
        <v>73</v>
      </c>
      <c r="B75" t="str">
        <v>Dự phòng phải trả ngắn hạn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>
        <v>0</v>
      </c>
    </row>
    <row r="76" spans="1:8" x14ac:dyDescent="0.25">
      <c r="A76">
        <v>74</v>
      </c>
      <c r="B76" t="str">
        <v>Quỹ bình ổn giá</v>
      </c>
      <c r="C76" s="24">
        <v>0</v>
      </c>
      <c r="D76" s="24">
        <v>0</v>
      </c>
      <c r="E76" s="24">
        <v>0</v>
      </c>
      <c r="F76" s="24">
        <v>0</v>
      </c>
      <c r="G76" s="24">
        <v>0</v>
      </c>
      <c r="H76">
        <v>0</v>
      </c>
    </row>
    <row r="77" spans="1:8" x14ac:dyDescent="0.25">
      <c r="A77">
        <v>75</v>
      </c>
      <c r="B77" t="str">
        <v>Giao dịch mua bán lại trái phiếu chính phủ</v>
      </c>
      <c r="C77" s="24">
        <v>0</v>
      </c>
      <c r="D77" s="24">
        <v>0</v>
      </c>
      <c r="E77" s="24">
        <v>0</v>
      </c>
      <c r="F77" s="24">
        <v>0</v>
      </c>
      <c r="G77" s="24">
        <v>0</v>
      </c>
      <c r="H77">
        <v>0</v>
      </c>
    </row>
    <row r="78" spans="1:8" x14ac:dyDescent="0.25">
      <c r="A78">
        <v>76</v>
      </c>
      <c r="B78" t="str">
        <v>Nợ dài hạn</v>
      </c>
      <c r="C78" s="24">
        <v>52090752568</v>
      </c>
      <c r="D78" s="24">
        <v>32613784697</v>
      </c>
      <c r="E78" s="24">
        <v>32589470841</v>
      </c>
      <c r="F78" s="24">
        <v>35106764274</v>
      </c>
      <c r="G78" s="24">
        <v>28952887795</v>
      </c>
      <c r="H78">
        <v>28739503760</v>
      </c>
    </row>
    <row r="79" spans="1:8" x14ac:dyDescent="0.25">
      <c r="A79">
        <v>77</v>
      </c>
      <c r="B79" t="str">
        <v>Phải trả dài hạn người bán</v>
      </c>
      <c r="C79" s="24">
        <v>0</v>
      </c>
      <c r="D79" s="24">
        <v>0</v>
      </c>
      <c r="E79" s="24">
        <v>0</v>
      </c>
      <c r="F79" s="24">
        <v>0</v>
      </c>
      <c r="G79" s="24">
        <v>0</v>
      </c>
      <c r="H79">
        <v>0</v>
      </c>
    </row>
    <row r="80" spans="1:8" x14ac:dyDescent="0.25">
      <c r="A80">
        <v>78</v>
      </c>
      <c r="B80" t="str">
        <v>Người mua trả trước dài hạn</v>
      </c>
      <c r="C80" s="24">
        <v>0</v>
      </c>
      <c r="D80" s="24">
        <v>0</v>
      </c>
      <c r="E80" s="24">
        <v>0</v>
      </c>
      <c r="F80" s="24">
        <v>0</v>
      </c>
      <c r="G80" s="24">
        <v>0</v>
      </c>
      <c r="H80">
        <v>0</v>
      </c>
    </row>
    <row r="81" spans="1:8" x14ac:dyDescent="0.25">
      <c r="A81">
        <v>79</v>
      </c>
      <c r="B81" t="str">
        <v>Chi phí phải trả dài hạn</v>
      </c>
      <c r="C81" s="24">
        <v>0</v>
      </c>
      <c r="D81" s="24">
        <v>0</v>
      </c>
      <c r="E81" s="24">
        <v>0</v>
      </c>
      <c r="F81" s="24">
        <v>0</v>
      </c>
      <c r="G81" s="24">
        <v>0</v>
      </c>
      <c r="H81">
        <v>0</v>
      </c>
    </row>
    <row r="82" spans="1:8" x14ac:dyDescent="0.25">
      <c r="A82">
        <v>80</v>
      </c>
      <c r="B82" t="str">
        <v>Phải trả nội bộ về vốn kinh doanh</v>
      </c>
      <c r="C82" s="24">
        <v>0</v>
      </c>
      <c r="D82" s="24">
        <v>0</v>
      </c>
      <c r="E82" s="24">
        <v>0</v>
      </c>
      <c r="F82" s="24">
        <v>0</v>
      </c>
      <c r="G82" s="24">
        <v>0</v>
      </c>
      <c r="H82">
        <v>0</v>
      </c>
    </row>
    <row r="83" spans="1:8" x14ac:dyDescent="0.25">
      <c r="A83">
        <v>81</v>
      </c>
      <c r="B83" t="str">
        <v>Phải trả dài hạn nội bộ</v>
      </c>
      <c r="C83" s="24">
        <v>0</v>
      </c>
      <c r="D83" s="24">
        <v>0</v>
      </c>
      <c r="E83" s="24">
        <v>0</v>
      </c>
      <c r="F83" s="24">
        <v>0</v>
      </c>
      <c r="G83" s="24">
        <v>0</v>
      </c>
      <c r="H83">
        <v>0</v>
      </c>
    </row>
    <row r="84" spans="1:8" x14ac:dyDescent="0.25">
      <c r="A84">
        <v>82</v>
      </c>
      <c r="B84" t="str">
        <v>Phải trả dài hạn khác</v>
      </c>
      <c r="C84" s="24">
        <v>900000000</v>
      </c>
      <c r="D84" s="24">
        <v>900000000</v>
      </c>
      <c r="E84" s="24">
        <v>900000000</v>
      </c>
      <c r="F84" s="24">
        <v>900000000</v>
      </c>
      <c r="G84" s="24">
        <v>900000000</v>
      </c>
      <c r="H84">
        <v>900000000</v>
      </c>
    </row>
    <row r="85" spans="1:8" x14ac:dyDescent="0.25">
      <c r="A85">
        <v>83</v>
      </c>
      <c r="B85" t="str">
        <v>Vay và nợ dài hạn</v>
      </c>
      <c r="C85" s="24">
        <v>17899351598</v>
      </c>
      <c r="D85" s="24">
        <v>0</v>
      </c>
      <c r="E85" s="24">
        <v>0</v>
      </c>
      <c r="F85" s="24">
        <v>3072616017</v>
      </c>
      <c r="G85" s="24">
        <v>0</v>
      </c>
      <c r="H85">
        <v>0</v>
      </c>
    </row>
    <row r="86" spans="1:8" x14ac:dyDescent="0.25">
      <c r="A86">
        <v>84</v>
      </c>
      <c r="B86" t="str">
        <v>Trái phiếu chuyển đổi</v>
      </c>
      <c r="C86" s="24">
        <v>0</v>
      </c>
      <c r="D86" s="24">
        <v>0</v>
      </c>
      <c r="E86" s="24">
        <v>0</v>
      </c>
      <c r="F86" s="24">
        <v>0</v>
      </c>
      <c r="G86" s="24">
        <v>0</v>
      </c>
      <c r="H86">
        <v>0</v>
      </c>
    </row>
    <row r="87" spans="1:8" x14ac:dyDescent="0.25">
      <c r="A87">
        <v>85</v>
      </c>
      <c r="B87" t="str">
        <v>Cổ phiếu ưu đãi</v>
      </c>
      <c r="C87" s="24">
        <v>0</v>
      </c>
      <c r="D87" s="24">
        <v>0</v>
      </c>
      <c r="E87" s="24">
        <v>0</v>
      </c>
      <c r="F87" s="24">
        <v>0</v>
      </c>
      <c r="G87" s="24">
        <v>0</v>
      </c>
      <c r="H87">
        <v>0</v>
      </c>
    </row>
    <row r="88" spans="1:8" x14ac:dyDescent="0.25">
      <c r="A88">
        <v>86</v>
      </c>
      <c r="B88" t="str">
        <v>Thuế thu nhập hoãn lại phải trả</v>
      </c>
      <c r="C88" s="24">
        <v>33291400970</v>
      </c>
      <c r="D88" s="24">
        <v>31713784697</v>
      </c>
      <c r="E88" s="24">
        <v>31689470841</v>
      </c>
      <c r="F88" s="24">
        <v>31134148257</v>
      </c>
      <c r="G88" s="24">
        <v>28052887795</v>
      </c>
      <c r="H88">
        <v>27839503760</v>
      </c>
    </row>
    <row r="89" spans="1:8" x14ac:dyDescent="0.25">
      <c r="A89">
        <v>87</v>
      </c>
      <c r="B89" t="str">
        <v>Dự phòng trợ cấp mất việc làm</v>
      </c>
      <c r="C89" s="24">
        <v>0</v>
      </c>
      <c r="D89" s="24">
        <v>0</v>
      </c>
      <c r="E89" s="24">
        <v>0</v>
      </c>
      <c r="F89" s="24">
        <v>0</v>
      </c>
      <c r="G89" s="24">
        <v>0</v>
      </c>
      <c r="H89">
        <v>0</v>
      </c>
    </row>
    <row r="90" spans="1:8" x14ac:dyDescent="0.25">
      <c r="A90">
        <v>88</v>
      </c>
      <c r="B90" t="str">
        <v>Doanh thu chưa thực hiện dài hạn</v>
      </c>
      <c r="C90" s="24">
        <v>0</v>
      </c>
      <c r="D90" s="24">
        <v>0</v>
      </c>
      <c r="E90" s="24">
        <v>0</v>
      </c>
      <c r="F90" s="24">
        <v>0</v>
      </c>
      <c r="G90" s="24">
        <v>0</v>
      </c>
      <c r="H90">
        <v>0</v>
      </c>
    </row>
    <row r="91" spans="1:8" x14ac:dyDescent="0.25">
      <c r="A91">
        <v>89</v>
      </c>
      <c r="B91" t="str">
        <v>Quỹ phát triển khoa học và công nghệ</v>
      </c>
      <c r="C91" s="24">
        <v>0</v>
      </c>
      <c r="D91" s="24">
        <v>0</v>
      </c>
      <c r="E91" s="24">
        <v>0</v>
      </c>
      <c r="F91" s="24">
        <v>0</v>
      </c>
      <c r="G91" s="24">
        <v>0</v>
      </c>
      <c r="H91">
        <v>0</v>
      </c>
    </row>
    <row r="92" spans="1:8" x14ac:dyDescent="0.25">
      <c r="A92">
        <v>90</v>
      </c>
      <c r="B92" t="str">
        <v>Dự phòng phải trả dài hạn</v>
      </c>
      <c r="C92" s="24">
        <v>0</v>
      </c>
      <c r="D92" s="24">
        <v>0</v>
      </c>
      <c r="E92" s="24">
        <v>0</v>
      </c>
      <c r="F92" s="24">
        <v>0</v>
      </c>
      <c r="G92" s="24">
        <v>0</v>
      </c>
      <c r="H92">
        <v>0</v>
      </c>
    </row>
    <row r="93" spans="1:8" x14ac:dyDescent="0.25">
      <c r="A93">
        <v>91</v>
      </c>
      <c r="B93" t="str">
        <v>Vốn chủ sở hữu</v>
      </c>
      <c r="C93" s="24">
        <v>6237363076453</v>
      </c>
      <c r="D93" s="24">
        <v>6152663224044</v>
      </c>
      <c r="E93" s="24">
        <v>5733977083659</v>
      </c>
      <c r="F93" s="24">
        <v>5377627700603</v>
      </c>
      <c r="G93" s="24">
        <v>5261089896291</v>
      </c>
      <c r="H93">
        <v>5381789886385</v>
      </c>
    </row>
    <row r="94" spans="1:8" x14ac:dyDescent="0.25">
      <c r="A94">
        <v>92</v>
      </c>
      <c r="B94" t="str">
        <v>Vốn và các quỹ</v>
      </c>
      <c r="C94" s="24">
        <v>6237363076453</v>
      </c>
      <c r="D94" s="24">
        <v>6152663224044</v>
      </c>
      <c r="E94" s="24">
        <v>5733977083659</v>
      </c>
      <c r="F94" s="24">
        <v>5377627700603</v>
      </c>
      <c r="G94" s="24">
        <v>5261089896291</v>
      </c>
      <c r="H94">
        <v>5381789886385</v>
      </c>
    </row>
    <row r="95" spans="1:8" x14ac:dyDescent="0.25">
      <c r="A95">
        <v>93</v>
      </c>
      <c r="B95" t="str">
        <v>Vốn góp</v>
      </c>
      <c r="C95" s="24">
        <v>2193985680000</v>
      </c>
      <c r="D95" s="24">
        <v>2632778060000</v>
      </c>
      <c r="E95" s="24">
        <v>2632778060000</v>
      </c>
      <c r="F95" s="24">
        <v>2632778060000</v>
      </c>
      <c r="G95" s="24">
        <v>2632778060000</v>
      </c>
      <c r="H95">
        <v>2632778060000</v>
      </c>
    </row>
    <row r="96" spans="1:8" x14ac:dyDescent="0.25">
      <c r="A96">
        <v>94</v>
      </c>
      <c r="B96" t="str">
        <v>Thặng dư vốn cổ phần</v>
      </c>
      <c r="C96" s="24">
        <v>785907272279</v>
      </c>
      <c r="D96" s="24">
        <v>785907272279</v>
      </c>
      <c r="E96" s="24">
        <v>785907272279</v>
      </c>
      <c r="F96" s="24">
        <v>785907272279</v>
      </c>
      <c r="G96" s="24">
        <v>785907272279</v>
      </c>
      <c r="H96">
        <v>785907272279</v>
      </c>
    </row>
    <row r="97" spans="1:8" x14ac:dyDescent="0.25">
      <c r="A97">
        <v>95</v>
      </c>
      <c r="B97" t="str">
        <v>Quyền chọn chuyển đổi trái phiếu</v>
      </c>
      <c r="C97" s="24">
        <v>0</v>
      </c>
      <c r="D97" s="24">
        <v>0</v>
      </c>
      <c r="E97" s="24">
        <v>0</v>
      </c>
      <c r="F97" s="24">
        <v>0</v>
      </c>
      <c r="G97" s="24">
        <v>0</v>
      </c>
      <c r="H97">
        <v>0</v>
      </c>
    </row>
    <row r="98" spans="1:8" x14ac:dyDescent="0.25">
      <c r="A98">
        <v>96</v>
      </c>
      <c r="B98" t="str">
        <v>Vốn khác của chủ sở hữu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>
        <v>0</v>
      </c>
    </row>
    <row r="99" spans="1:8" x14ac:dyDescent="0.25">
      <c r="A99">
        <v>97</v>
      </c>
      <c r="B99" t="str">
        <v>Cổ phiếu quỹ</v>
      </c>
      <c r="C99" s="24">
        <v>0</v>
      </c>
      <c r="D99" s="24">
        <v>0</v>
      </c>
      <c r="E99" s="24">
        <v>0</v>
      </c>
      <c r="F99" s="24">
        <v>0</v>
      </c>
      <c r="G99" s="24">
        <v>0</v>
      </c>
      <c r="H99">
        <v>0</v>
      </c>
    </row>
    <row r="100" spans="1:8" x14ac:dyDescent="0.25">
      <c r="A100">
        <v>98</v>
      </c>
      <c r="B100" t="str">
        <v>Chênh lệch đánh giá lại tài sản</v>
      </c>
      <c r="C100" s="24">
        <v>0</v>
      </c>
      <c r="D100" s="24">
        <v>0</v>
      </c>
      <c r="E100" s="24">
        <v>0</v>
      </c>
      <c r="F100" s="24">
        <v>0</v>
      </c>
      <c r="G100" s="24">
        <v>0</v>
      </c>
      <c r="H100">
        <v>0</v>
      </c>
    </row>
    <row r="101" spans="1:8" x14ac:dyDescent="0.25">
      <c r="A101">
        <v>99</v>
      </c>
      <c r="B101" t="str">
        <v>Chênh lệch tỷ giá hối đoái</v>
      </c>
      <c r="C101" s="24">
        <v>0</v>
      </c>
      <c r="D101" s="24">
        <v>0</v>
      </c>
      <c r="E101" s="24">
        <v>0</v>
      </c>
      <c r="F101" s="24">
        <v>0</v>
      </c>
      <c r="G101" s="24">
        <v>0</v>
      </c>
      <c r="H101">
        <v>0</v>
      </c>
    </row>
    <row r="102" spans="1:8" x14ac:dyDescent="0.25">
      <c r="A102">
        <v>100</v>
      </c>
      <c r="B102" t="str">
        <v>Quỹ đầu tư phát triển</v>
      </c>
      <c r="C102" s="24">
        <v>74567904963</v>
      </c>
      <c r="D102" s="24">
        <v>185830957874</v>
      </c>
      <c r="E102" s="24">
        <v>185830957874</v>
      </c>
      <c r="F102" s="24">
        <v>185830957874</v>
      </c>
      <c r="G102" s="24">
        <v>185830957874</v>
      </c>
      <c r="H102">
        <v>185830957874</v>
      </c>
    </row>
    <row r="103" spans="1:8" x14ac:dyDescent="0.25">
      <c r="A103">
        <v>101</v>
      </c>
      <c r="B103" t="str">
        <v>Quỹ dự phòng tài chính</v>
      </c>
      <c r="C103" s="24">
        <v>0</v>
      </c>
      <c r="D103" s="24">
        <v>0</v>
      </c>
      <c r="E103" s="24">
        <v>0</v>
      </c>
      <c r="F103" s="24">
        <v>0</v>
      </c>
      <c r="G103" s="24">
        <v>0</v>
      </c>
      <c r="H103">
        <v>0</v>
      </c>
    </row>
    <row r="104" spans="1:8" x14ac:dyDescent="0.25">
      <c r="A104">
        <v>102</v>
      </c>
      <c r="B104" t="str">
        <v>Quỹ khác thuộc vốn chủ sở hữu</v>
      </c>
      <c r="C104" s="24">
        <v>42586677857</v>
      </c>
      <c r="D104" s="24">
        <v>87091899021</v>
      </c>
      <c r="E104" s="24">
        <v>87091899021</v>
      </c>
      <c r="F104" s="24">
        <v>87091899021</v>
      </c>
      <c r="G104" s="24">
        <v>87091899021</v>
      </c>
      <c r="H104">
        <v>87091899021</v>
      </c>
    </row>
    <row r="105" spans="1:8" x14ac:dyDescent="0.25">
      <c r="A105">
        <v>103</v>
      </c>
      <c r="B105" t="str">
        <v>Lợi nhuận sau thuế chưa phân phối</v>
      </c>
      <c r="C105" s="24">
        <v>3140315541354</v>
      </c>
      <c r="D105" s="24">
        <v>2461055034870</v>
      </c>
      <c r="E105" s="24">
        <v>2042368894485</v>
      </c>
      <c r="F105" s="24">
        <v>1686019511429</v>
      </c>
      <c r="G105" s="24">
        <v>1569481707117</v>
      </c>
      <c r="H105">
        <v>1690181697211</v>
      </c>
    </row>
    <row r="106" spans="1:8" x14ac:dyDescent="0.25">
      <c r="A106">
        <v>104</v>
      </c>
      <c r="B106" t="str">
        <v>Lợi ích cổ đông không kiểm soát</v>
      </c>
      <c r="C106" s="24">
        <v>0</v>
      </c>
      <c r="D106" s="24">
        <v>0</v>
      </c>
      <c r="E106" s="24">
        <v>0</v>
      </c>
      <c r="F106" s="24">
        <v>0</v>
      </c>
      <c r="G106" s="24">
        <v>0</v>
      </c>
      <c r="H106">
        <v>0</v>
      </c>
    </row>
    <row r="107" spans="1:8" x14ac:dyDescent="0.25">
      <c r="A107">
        <v>105</v>
      </c>
      <c r="B107" t="str">
        <v>Quỹ hỗ trợ sắp xếp doanh nghiệp</v>
      </c>
      <c r="C107" s="24">
        <v>0</v>
      </c>
      <c r="D107" s="24">
        <v>0</v>
      </c>
      <c r="E107" s="24">
        <v>0</v>
      </c>
      <c r="F107" s="24">
        <v>0</v>
      </c>
      <c r="G107" s="24">
        <v>0</v>
      </c>
      <c r="H107">
        <v>0</v>
      </c>
    </row>
    <row r="108" spans="1:8" x14ac:dyDescent="0.25">
      <c r="A108">
        <v>106</v>
      </c>
      <c r="B108" t="str">
        <v>Nguồn vốn đầu tư XDCB</v>
      </c>
      <c r="C108" s="24">
        <v>0</v>
      </c>
      <c r="D108" s="24">
        <v>0</v>
      </c>
      <c r="E108" s="24">
        <v>0</v>
      </c>
      <c r="F108" s="24">
        <v>0</v>
      </c>
      <c r="G108" s="24">
        <v>0</v>
      </c>
      <c r="H108">
        <v>0</v>
      </c>
    </row>
    <row r="109" spans="1:8" x14ac:dyDescent="0.25">
      <c r="A109">
        <v>107</v>
      </c>
      <c r="B109" t="str">
        <v>Nguồn kinh phí và quỹ khác</v>
      </c>
      <c r="C109" s="24">
        <v>0</v>
      </c>
      <c r="D109" s="24">
        <v>0</v>
      </c>
      <c r="E109" s="24">
        <v>0</v>
      </c>
      <c r="F109" s="24">
        <v>0</v>
      </c>
      <c r="G109" s="24">
        <v>0</v>
      </c>
      <c r="H109">
        <v>0</v>
      </c>
    </row>
    <row r="110" spans="1:8" x14ac:dyDescent="0.25">
      <c r="A110">
        <v>108</v>
      </c>
      <c r="B110" t="str">
        <v>Quỹ khen thưởng, phúc lợi (trước 2010)</v>
      </c>
      <c r="C110" s="24">
        <v>0</v>
      </c>
      <c r="D110" s="24">
        <v>0</v>
      </c>
      <c r="E110" s="24">
        <v>0</v>
      </c>
      <c r="F110" s="24">
        <v>0</v>
      </c>
      <c r="G110" s="24">
        <v>0</v>
      </c>
      <c r="H110">
        <v>0</v>
      </c>
    </row>
    <row r="111" spans="1:8" x14ac:dyDescent="0.25">
      <c r="A111">
        <v>109</v>
      </c>
      <c r="B111" t="str">
        <v>Vốn ngân sách nhà nước</v>
      </c>
      <c r="C111" s="24">
        <v>0</v>
      </c>
      <c r="D111" s="24">
        <v>0</v>
      </c>
      <c r="E111" s="24">
        <v>0</v>
      </c>
      <c r="F111" s="24">
        <v>0</v>
      </c>
      <c r="G111" s="24">
        <v>0</v>
      </c>
      <c r="H111">
        <v>0</v>
      </c>
    </row>
    <row r="112" spans="1:8" x14ac:dyDescent="0.25">
      <c r="A112">
        <v>110</v>
      </c>
      <c r="B112" t="str">
        <v>Nguồn kinh phí đã hình thành TSCĐ</v>
      </c>
      <c r="C112" s="24">
        <v>0</v>
      </c>
      <c r="D112" s="24">
        <v>0</v>
      </c>
      <c r="E112" s="24">
        <v>0</v>
      </c>
      <c r="F112" s="24">
        <v>0</v>
      </c>
      <c r="G112" s="24">
        <v>0</v>
      </c>
      <c r="H112">
        <v>0</v>
      </c>
    </row>
    <row r="113" spans="1:8" x14ac:dyDescent="0.25">
      <c r="A113">
        <v>111</v>
      </c>
      <c r="B113" t="str">
        <v>Lợi ích của cổ đông không kiểm soát (trước 2015)</v>
      </c>
      <c r="C113" s="24">
        <v>0</v>
      </c>
      <c r="D113" s="24">
        <v>0</v>
      </c>
      <c r="E113" s="24">
        <v>0</v>
      </c>
      <c r="F113" s="24">
        <v>0</v>
      </c>
      <c r="G113" s="24">
        <v>0</v>
      </c>
      <c r="H113">
        <v>0</v>
      </c>
    </row>
    <row r="114" spans="1:8" x14ac:dyDescent="0.25">
      <c r="A114">
        <v>112</v>
      </c>
      <c r="B114" t="str">
        <v>TỔNG CỘNG NGUỒN VỐN</v>
      </c>
      <c r="C114" s="24">
        <v>16437262324382</v>
      </c>
      <c r="D114" s="24">
        <v>16258145470676</v>
      </c>
      <c r="E114" s="24">
        <v>15860205016561</v>
      </c>
      <c r="F114" s="24">
        <v>13521605271841</v>
      </c>
      <c r="G114" s="24">
        <v>12751898326258</v>
      </c>
      <c r="H114">
        <v>12178966349173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7E65-03E5-434F-AFAB-7B83F4ACE950}">
  <sheetPr codeName="Sheet18"/>
  <dimension ref="A1:O26"/>
  <sheetViews>
    <sheetView zoomScaleNormal="100" workbookViewId="0"/>
  </sheetViews>
  <sheetFormatPr defaultRowHeight="15.75" x14ac:dyDescent="0.25"/>
  <cols>
    <col min="1" max="1" width="2.875" customWidth="1"/>
    <col min="2" max="2" width="11.5" customWidth="1"/>
    <col min="3" max="3" width="14.5" customWidth="1"/>
    <col min="4" max="4" width="13.125" customWidth="1"/>
    <col min="8" max="11" width="16.5" customWidth="1"/>
    <col min="14" max="16" width="10.375" bestFit="1" customWidth="1"/>
    <col min="17" max="17" width="12.125" customWidth="1"/>
    <col min="19" max="26" width="10.875" customWidth="1"/>
  </cols>
  <sheetData>
    <row r="1" spans="1:15" x14ac:dyDescent="0.25">
      <c r="A1" t="str" cm="1">
        <f t="array" ref="A1:K26">get_price_historical_vnd(M1,N1,O1)</f>
        <v/>
      </c>
      <c r="B1" t="str">
        <v>code</v>
      </c>
      <c r="C1" t="str">
        <v>time</v>
      </c>
      <c r="D1" t="str">
        <v>open</v>
      </c>
      <c r="E1" t="str">
        <v>high</v>
      </c>
      <c r="F1" t="str">
        <v>low</v>
      </c>
      <c r="G1" t="str">
        <v>close</v>
      </c>
      <c r="H1" t="str">
        <v>KLGD Khớp lệnh</v>
      </c>
      <c r="I1" t="str">
        <v>GTGD Khớp lệnh</v>
      </c>
      <c r="J1" t="str">
        <v>KLGD Thỏa thuận</v>
      </c>
      <c r="K1" t="str">
        <v>GTGD Thỏa thuận</v>
      </c>
      <c r="M1" t="s">
        <v>101</v>
      </c>
      <c r="N1" s="21">
        <v>45148</v>
      </c>
      <c r="O1" s="21">
        <v>45185</v>
      </c>
    </row>
    <row r="2" spans="1:15" x14ac:dyDescent="0.25">
      <c r="A2">
        <v>0</v>
      </c>
      <c r="B2" t="str">
        <v>TCM</v>
      </c>
      <c r="C2" t="str">
        <v>15:09:03</v>
      </c>
      <c r="D2">
        <v>48.3</v>
      </c>
      <c r="E2">
        <v>48.5</v>
      </c>
      <c r="F2">
        <v>47.3</v>
      </c>
      <c r="G2">
        <v>47.95</v>
      </c>
      <c r="H2">
        <v>725900</v>
      </c>
      <c r="I2">
        <v>34819530000</v>
      </c>
      <c r="J2">
        <v>378000</v>
      </c>
      <c r="K2">
        <v>18424500000</v>
      </c>
    </row>
    <row r="3" spans="1:15" x14ac:dyDescent="0.25">
      <c r="A3">
        <v>1</v>
      </c>
      <c r="B3" t="str">
        <v>TCM</v>
      </c>
      <c r="C3" t="str">
        <v>15:09:03</v>
      </c>
      <c r="D3">
        <v>48.7</v>
      </c>
      <c r="E3">
        <v>48.8</v>
      </c>
      <c r="F3">
        <v>46.8</v>
      </c>
      <c r="G3">
        <v>48.4</v>
      </c>
      <c r="H3">
        <v>702700</v>
      </c>
      <c r="I3">
        <v>33631710000</v>
      </c>
      <c r="J3">
        <v>0</v>
      </c>
      <c r="K3">
        <v>0</v>
      </c>
    </row>
    <row r="4" spans="1:15" x14ac:dyDescent="0.25">
      <c r="A4">
        <v>2</v>
      </c>
      <c r="B4" t="str">
        <v>TCM</v>
      </c>
      <c r="C4" t="str">
        <v>15:09:02</v>
      </c>
      <c r="D4">
        <v>49.05</v>
      </c>
      <c r="E4">
        <v>49.3</v>
      </c>
      <c r="F4">
        <v>45.75</v>
      </c>
      <c r="G4">
        <v>48.5</v>
      </c>
      <c r="H4">
        <v>767000</v>
      </c>
      <c r="I4">
        <v>37401080000</v>
      </c>
      <c r="J4">
        <v>183000</v>
      </c>
      <c r="K4">
        <v>9003600000</v>
      </c>
      <c r="M4" t="s">
        <v>104</v>
      </c>
    </row>
    <row r="5" spans="1:15" x14ac:dyDescent="0.25">
      <c r="A5">
        <v>3</v>
      </c>
      <c r="B5" t="str">
        <v>TCM</v>
      </c>
      <c r="C5" t="str">
        <v>15:09:02</v>
      </c>
      <c r="D5">
        <v>49.5</v>
      </c>
      <c r="E5">
        <v>49.5</v>
      </c>
      <c r="F5">
        <v>48.6</v>
      </c>
      <c r="G5">
        <v>49</v>
      </c>
      <c r="H5">
        <v>475800</v>
      </c>
      <c r="I5">
        <v>23373170000</v>
      </c>
      <c r="J5">
        <v>0</v>
      </c>
      <c r="K5">
        <v>0</v>
      </c>
    </row>
    <row r="6" spans="1:15" x14ac:dyDescent="0.25">
      <c r="A6">
        <v>4</v>
      </c>
      <c r="B6" t="str">
        <v>TCM</v>
      </c>
      <c r="C6" t="str">
        <v>15:09:02</v>
      </c>
      <c r="D6">
        <v>49.8</v>
      </c>
      <c r="E6">
        <v>49.85</v>
      </c>
      <c r="F6">
        <v>48.9</v>
      </c>
      <c r="G6">
        <v>49.3</v>
      </c>
      <c r="H6">
        <v>680800</v>
      </c>
      <c r="I6">
        <v>33655230000</v>
      </c>
      <c r="J6">
        <v>0</v>
      </c>
      <c r="K6">
        <v>0</v>
      </c>
    </row>
    <row r="7" spans="1:15" x14ac:dyDescent="0.25">
      <c r="A7">
        <v>5</v>
      </c>
      <c r="B7" t="str">
        <v>TCM</v>
      </c>
      <c r="C7" t="str">
        <v>15:09:03</v>
      </c>
      <c r="D7">
        <v>49.1</v>
      </c>
      <c r="E7">
        <v>49.4</v>
      </c>
      <c r="F7">
        <v>48.5</v>
      </c>
      <c r="G7">
        <v>49.25</v>
      </c>
      <c r="H7">
        <v>782700</v>
      </c>
      <c r="I7">
        <v>38403240000</v>
      </c>
      <c r="J7">
        <v>0</v>
      </c>
      <c r="K7">
        <v>0</v>
      </c>
    </row>
    <row r="8" spans="1:15" x14ac:dyDescent="0.25">
      <c r="A8">
        <v>6</v>
      </c>
      <c r="B8" t="str">
        <v>TCM</v>
      </c>
      <c r="C8" t="str">
        <v>15:09:01</v>
      </c>
      <c r="D8">
        <v>49.7</v>
      </c>
      <c r="E8">
        <v>49.95</v>
      </c>
      <c r="F8">
        <v>49.2</v>
      </c>
      <c r="G8">
        <v>49.2</v>
      </c>
      <c r="H8">
        <v>797900</v>
      </c>
      <c r="I8">
        <v>39661210000</v>
      </c>
      <c r="J8">
        <v>0</v>
      </c>
      <c r="K8">
        <v>0</v>
      </c>
    </row>
    <row r="9" spans="1:15" x14ac:dyDescent="0.25">
      <c r="A9">
        <v>7</v>
      </c>
      <c r="B9" t="str">
        <v>TCM</v>
      </c>
      <c r="C9" t="str">
        <v>15:09:03</v>
      </c>
      <c r="D9">
        <v>49.7</v>
      </c>
      <c r="E9">
        <v>49.8</v>
      </c>
      <c r="F9">
        <v>49.15</v>
      </c>
      <c r="G9">
        <v>49.7</v>
      </c>
      <c r="H9">
        <v>635500</v>
      </c>
      <c r="I9">
        <v>31412280000</v>
      </c>
      <c r="J9">
        <v>0</v>
      </c>
      <c r="K9">
        <v>0</v>
      </c>
    </row>
    <row r="10" spans="1:15" x14ac:dyDescent="0.25">
      <c r="A10">
        <v>8</v>
      </c>
      <c r="B10" t="str">
        <v>TCM</v>
      </c>
      <c r="C10" t="str">
        <v>15:09:04</v>
      </c>
      <c r="D10">
        <v>50</v>
      </c>
      <c r="E10">
        <v>50</v>
      </c>
      <c r="F10">
        <v>49.2</v>
      </c>
      <c r="G10">
        <v>49.7</v>
      </c>
      <c r="H10">
        <v>696400</v>
      </c>
      <c r="I10">
        <v>34570750000</v>
      </c>
      <c r="J10">
        <v>0</v>
      </c>
      <c r="K10">
        <v>0</v>
      </c>
    </row>
    <row r="11" spans="1:15" x14ac:dyDescent="0.25">
      <c r="A11">
        <v>9</v>
      </c>
      <c r="B11" t="str">
        <v>TCM</v>
      </c>
      <c r="C11" t="str">
        <v>15:08:04</v>
      </c>
      <c r="D11">
        <v>47.9</v>
      </c>
      <c r="E11">
        <v>49.65</v>
      </c>
      <c r="F11">
        <v>47.7</v>
      </c>
      <c r="G11">
        <v>49.6</v>
      </c>
      <c r="H11">
        <v>1127700</v>
      </c>
      <c r="I11">
        <v>55326400000</v>
      </c>
      <c r="J11">
        <v>0</v>
      </c>
      <c r="K11">
        <v>0</v>
      </c>
    </row>
    <row r="12" spans="1:15" x14ac:dyDescent="0.25">
      <c r="A12">
        <v>10</v>
      </c>
      <c r="B12" t="str">
        <v>TCM</v>
      </c>
      <c r="C12" t="str">
        <v>15:08:02</v>
      </c>
      <c r="D12">
        <v>47</v>
      </c>
      <c r="E12">
        <v>47.8</v>
      </c>
      <c r="F12">
        <v>47</v>
      </c>
      <c r="G12">
        <v>47.65</v>
      </c>
      <c r="H12">
        <v>766600</v>
      </c>
      <c r="I12">
        <v>36394675000</v>
      </c>
      <c r="J12">
        <v>0</v>
      </c>
      <c r="K12">
        <v>0</v>
      </c>
    </row>
    <row r="13" spans="1:15" x14ac:dyDescent="0.25">
      <c r="A13">
        <v>11</v>
      </c>
      <c r="B13" t="str">
        <v>TCM</v>
      </c>
      <c r="C13" t="str">
        <v>15:08:02</v>
      </c>
      <c r="D13">
        <v>47.5</v>
      </c>
      <c r="E13">
        <v>47.6</v>
      </c>
      <c r="F13">
        <v>47</v>
      </c>
      <c r="G13">
        <v>47.3</v>
      </c>
      <c r="H13">
        <v>662600</v>
      </c>
      <c r="I13">
        <v>31383585000</v>
      </c>
      <c r="J13">
        <v>0</v>
      </c>
      <c r="K13">
        <v>0</v>
      </c>
    </row>
    <row r="14" spans="1:15" x14ac:dyDescent="0.25">
      <c r="A14">
        <v>12</v>
      </c>
      <c r="B14" t="str">
        <v>TCM</v>
      </c>
      <c r="C14" t="str">
        <v>15:08:02</v>
      </c>
      <c r="D14">
        <v>47.7</v>
      </c>
      <c r="E14">
        <v>47.8</v>
      </c>
      <c r="F14">
        <v>47.1</v>
      </c>
      <c r="G14">
        <v>47.45</v>
      </c>
      <c r="H14">
        <v>577600</v>
      </c>
      <c r="I14">
        <v>27393765000</v>
      </c>
      <c r="J14">
        <v>0</v>
      </c>
      <c r="K14">
        <v>0</v>
      </c>
    </row>
    <row r="15" spans="1:15" x14ac:dyDescent="0.25">
      <c r="A15">
        <v>13</v>
      </c>
      <c r="B15" t="str">
        <v>TCM</v>
      </c>
      <c r="C15" t="str">
        <v>15:08:03</v>
      </c>
      <c r="D15">
        <v>47.95</v>
      </c>
      <c r="E15">
        <v>47.95</v>
      </c>
      <c r="F15">
        <v>47.1</v>
      </c>
      <c r="G15">
        <v>47.4</v>
      </c>
      <c r="H15">
        <v>435400</v>
      </c>
      <c r="I15">
        <v>20635240000</v>
      </c>
      <c r="J15">
        <v>0</v>
      </c>
      <c r="K15">
        <v>0</v>
      </c>
    </row>
    <row r="16" spans="1:15" x14ac:dyDescent="0.25">
      <c r="A16">
        <v>14</v>
      </c>
      <c r="B16" t="str">
        <v>TCM</v>
      </c>
      <c r="C16" t="str">
        <v>15:08:02</v>
      </c>
      <c r="D16">
        <v>47.55</v>
      </c>
      <c r="E16">
        <v>48</v>
      </c>
      <c r="F16">
        <v>47.4</v>
      </c>
      <c r="G16">
        <v>48</v>
      </c>
      <c r="H16">
        <v>363000</v>
      </c>
      <c r="I16">
        <v>17356950000</v>
      </c>
      <c r="J16">
        <v>0</v>
      </c>
      <c r="K16">
        <v>0</v>
      </c>
    </row>
    <row r="17" spans="1:11" x14ac:dyDescent="0.25">
      <c r="A17">
        <v>15</v>
      </c>
      <c r="B17" t="str">
        <v>TCM</v>
      </c>
      <c r="C17" t="str">
        <v>15:08:01</v>
      </c>
      <c r="D17">
        <v>48.6</v>
      </c>
      <c r="E17">
        <v>48.6</v>
      </c>
      <c r="F17">
        <v>47.4</v>
      </c>
      <c r="G17">
        <v>47.9</v>
      </c>
      <c r="H17">
        <v>367200</v>
      </c>
      <c r="I17">
        <v>17572755000</v>
      </c>
      <c r="J17">
        <v>0</v>
      </c>
      <c r="K17">
        <v>0</v>
      </c>
    </row>
    <row r="18" spans="1:11" x14ac:dyDescent="0.25">
      <c r="A18">
        <v>16</v>
      </c>
      <c r="B18" t="str">
        <v>TCM</v>
      </c>
      <c r="C18" t="str">
        <v>15:08:02</v>
      </c>
      <c r="D18">
        <v>48</v>
      </c>
      <c r="E18">
        <v>48.7</v>
      </c>
      <c r="F18">
        <v>47.1</v>
      </c>
      <c r="G18">
        <v>48.4</v>
      </c>
      <c r="H18">
        <v>503500</v>
      </c>
      <c r="I18">
        <v>24149225000</v>
      </c>
      <c r="J18">
        <v>0</v>
      </c>
      <c r="K18">
        <v>0</v>
      </c>
    </row>
    <row r="19" spans="1:11" x14ac:dyDescent="0.25">
      <c r="A19">
        <v>17</v>
      </c>
      <c r="B19" t="str">
        <v>TCM</v>
      </c>
      <c r="C19" t="str">
        <v>15:08:02</v>
      </c>
      <c r="D19">
        <v>46.6</v>
      </c>
      <c r="E19">
        <v>48</v>
      </c>
      <c r="F19">
        <v>45.6</v>
      </c>
      <c r="G19">
        <v>48</v>
      </c>
      <c r="H19">
        <v>737800</v>
      </c>
      <c r="I19">
        <v>34585400000</v>
      </c>
      <c r="J19">
        <v>0</v>
      </c>
      <c r="K19">
        <v>0</v>
      </c>
    </row>
    <row r="20" spans="1:11" x14ac:dyDescent="0.25">
      <c r="A20">
        <v>18</v>
      </c>
      <c r="B20" t="str">
        <v>TCM</v>
      </c>
      <c r="C20" t="str">
        <v>15:08:02</v>
      </c>
      <c r="D20">
        <v>48.8</v>
      </c>
      <c r="E20">
        <v>49.1</v>
      </c>
      <c r="F20">
        <v>45.85</v>
      </c>
      <c r="G20">
        <v>47</v>
      </c>
      <c r="H20">
        <v>633300</v>
      </c>
      <c r="I20">
        <v>30216690000</v>
      </c>
      <c r="J20">
        <v>0</v>
      </c>
      <c r="K20">
        <v>0</v>
      </c>
    </row>
    <row r="21" spans="1:11" x14ac:dyDescent="0.25">
      <c r="A21">
        <v>19</v>
      </c>
      <c r="B21" t="str">
        <v>TCM</v>
      </c>
      <c r="C21" t="str">
        <v>15:08:02</v>
      </c>
      <c r="D21">
        <v>49.6</v>
      </c>
      <c r="E21">
        <v>49.7</v>
      </c>
      <c r="F21">
        <v>48.3</v>
      </c>
      <c r="G21">
        <v>49.3</v>
      </c>
      <c r="H21">
        <v>1067300</v>
      </c>
      <c r="I21">
        <v>52156065000</v>
      </c>
      <c r="J21">
        <v>0</v>
      </c>
      <c r="K21">
        <v>0</v>
      </c>
    </row>
    <row r="22" spans="1:11" x14ac:dyDescent="0.25">
      <c r="A22">
        <v>20</v>
      </c>
      <c r="B22" t="str">
        <v>TCM</v>
      </c>
      <c r="C22" t="str">
        <v>15:08:02</v>
      </c>
      <c r="D22">
        <v>49.3</v>
      </c>
      <c r="E22">
        <v>50</v>
      </c>
      <c r="F22">
        <v>49.15</v>
      </c>
      <c r="G22">
        <v>49.6</v>
      </c>
      <c r="H22">
        <v>838100</v>
      </c>
      <c r="I22">
        <v>41455835000</v>
      </c>
      <c r="J22">
        <v>0</v>
      </c>
      <c r="K22">
        <v>0</v>
      </c>
    </row>
    <row r="23" spans="1:11" x14ac:dyDescent="0.25">
      <c r="A23">
        <v>21</v>
      </c>
      <c r="B23" t="str">
        <v>TCM</v>
      </c>
      <c r="C23" t="str">
        <v>15:08:02</v>
      </c>
      <c r="D23">
        <v>50.9</v>
      </c>
      <c r="E23">
        <v>51</v>
      </c>
      <c r="F23">
        <v>49.9</v>
      </c>
      <c r="G23">
        <v>49.9</v>
      </c>
      <c r="H23">
        <v>639400</v>
      </c>
      <c r="I23">
        <v>32268840000</v>
      </c>
      <c r="J23">
        <v>0</v>
      </c>
      <c r="K23">
        <v>0</v>
      </c>
    </row>
    <row r="24" spans="1:11" x14ac:dyDescent="0.25">
      <c r="A24">
        <v>22</v>
      </c>
      <c r="B24" t="str">
        <v>TCM</v>
      </c>
      <c r="C24" t="str">
        <v>15:08:02</v>
      </c>
      <c r="D24">
        <v>51.4</v>
      </c>
      <c r="E24">
        <v>51.4</v>
      </c>
      <c r="F24">
        <v>50.4</v>
      </c>
      <c r="G24">
        <v>50.9</v>
      </c>
      <c r="H24">
        <v>787900</v>
      </c>
      <c r="I24">
        <v>39982450000</v>
      </c>
      <c r="J24">
        <v>0</v>
      </c>
      <c r="K24">
        <v>0</v>
      </c>
    </row>
    <row r="25" spans="1:11" x14ac:dyDescent="0.25">
      <c r="A25">
        <v>23</v>
      </c>
      <c r="B25" t="str">
        <v>TCM</v>
      </c>
      <c r="C25" t="str">
        <v>14:44:29</v>
      </c>
      <c r="D25">
        <v>51.2</v>
      </c>
      <c r="E25">
        <v>51.4</v>
      </c>
      <c r="F25">
        <v>50.3</v>
      </c>
      <c r="G25">
        <v>51.2</v>
      </c>
      <c r="H25">
        <v>845700</v>
      </c>
      <c r="I25">
        <v>42963000000</v>
      </c>
      <c r="J25">
        <v>0</v>
      </c>
      <c r="K25">
        <v>0</v>
      </c>
    </row>
    <row r="26" spans="1:11" x14ac:dyDescent="0.25">
      <c r="A26">
        <v>24</v>
      </c>
      <c r="B26" t="str">
        <v>TCM</v>
      </c>
      <c r="C26" t="str">
        <v>15:08:02</v>
      </c>
      <c r="D26">
        <v>51.5</v>
      </c>
      <c r="E26">
        <v>52.1</v>
      </c>
      <c r="F26">
        <v>50.7</v>
      </c>
      <c r="G26">
        <v>51.4</v>
      </c>
      <c r="H26">
        <v>1298000</v>
      </c>
      <c r="I26">
        <v>66919580000</v>
      </c>
      <c r="J26">
        <v>0</v>
      </c>
      <c r="K2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Hướng dẫn</vt:lpstr>
      <vt:lpstr>BCTC_VND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2023-09-18T10:08:37Z</dcterms:modified>
</cp:coreProperties>
</file>